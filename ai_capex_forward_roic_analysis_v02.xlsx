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rookfield.sharepoint.com/sites/GlobalStrategyGroup/Shared Documents/3. Internal Initiatives/3. AI Valuations Memo/02_analysis/exhibits/"/>
    </mc:Choice>
  </mc:AlternateContent>
  <xr:revisionPtr revIDLastSave="26" documentId="11_152CC71C2FAEF070F93B329042A2C33D0331E55C" xr6:coauthVersionLast="47" xr6:coauthVersionMax="47" xr10:uidLastSave="{EA235AC5-7135-4CF6-A4BA-22224A4A6DED}"/>
  <bookViews>
    <workbookView xWindow="28755" yWindow="-16140" windowWidth="38640" windowHeight="15720" xr2:uid="{00000000-000D-0000-FFFF-FFFF00000000}"/>
  </bookViews>
  <sheets>
    <sheet name="Trajectory" sheetId="1" r:id="rId1"/>
    <sheet name="Snapshot" sheetId="2" r:id="rId2"/>
    <sheet name="Inputs" sheetId="3" r:id="rId3"/>
    <sheet name="Sources &amp; Notes" sheetId="4" r:id="rId4"/>
    <sheet name="Checks" sheetId="5" r:id="rId5"/>
  </sheets>
  <definedNames>
    <definedName name="_xlnm._FilterDatabase" localSheetId="4" hidden="1">Checks!$A$3:$F$138</definedName>
    <definedName name="_xlnm._FilterDatabase" localSheetId="2" hidden="1">Inputs!$A$4:$N$29</definedName>
    <definedName name="_xlnm._FilterDatabase" localSheetId="3" hidden="1">'Sources &amp; Notes'!$A$4:$L$64</definedName>
    <definedName name="_xlnm._FilterDatabase" localSheetId="0" hidden="1">Trajectory!$A$4:$G$38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">Snapshot!$A$1:$F$27</definedName>
    <definedName name="_xlnm.Print_Area" localSheetId="0">Trajectory!$A$1:$G$38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" l="1"/>
  <c r="E18" i="2"/>
  <c r="D18" i="2"/>
  <c r="C18" i="2"/>
  <c r="B18" i="2"/>
  <c r="F15" i="2"/>
  <c r="E15" i="2"/>
  <c r="D15" i="2"/>
  <c r="C15" i="2"/>
  <c r="B15" i="2"/>
  <c r="E13" i="2"/>
  <c r="D13" i="2"/>
  <c r="C13" i="2"/>
  <c r="B13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7" i="2"/>
  <c r="F8" i="2" s="1"/>
  <c r="F14" i="2" s="1"/>
  <c r="E7" i="2"/>
  <c r="D7" i="2"/>
  <c r="C7" i="2"/>
  <c r="B7" i="2"/>
  <c r="F6" i="2"/>
  <c r="E6" i="2"/>
  <c r="D6" i="2"/>
  <c r="C6" i="2"/>
  <c r="B6" i="2"/>
  <c r="F36" i="1"/>
  <c r="D125" i="5" s="1"/>
  <c r="F125" i="5" s="1"/>
  <c r="D36" i="1"/>
  <c r="D117" i="5" s="1"/>
  <c r="F117" i="5" s="1"/>
  <c r="C35" i="1"/>
  <c r="D112" i="5" s="1"/>
  <c r="F112" i="5" s="1"/>
  <c r="G34" i="1"/>
  <c r="G35" i="1" s="1"/>
  <c r="D128" i="5" s="1"/>
  <c r="F128" i="5" s="1"/>
  <c r="F34" i="1"/>
  <c r="F35" i="1" s="1"/>
  <c r="E34" i="1"/>
  <c r="E35" i="1" s="1"/>
  <c r="D120" i="5" s="1"/>
  <c r="F120" i="5" s="1"/>
  <c r="D34" i="1"/>
  <c r="D35" i="1" s="1"/>
  <c r="D116" i="5" s="1"/>
  <c r="F116" i="5" s="1"/>
  <c r="C34" i="1"/>
  <c r="G33" i="1"/>
  <c r="G36" i="1" s="1"/>
  <c r="F33" i="1"/>
  <c r="E33" i="1"/>
  <c r="E36" i="1" s="1"/>
  <c r="D33" i="1"/>
  <c r="C33" i="1"/>
  <c r="C36" i="1" s="1"/>
  <c r="F29" i="1"/>
  <c r="D98" i="5" s="1"/>
  <c r="F98" i="5" s="1"/>
  <c r="F28" i="1"/>
  <c r="D97" i="5" s="1"/>
  <c r="F97" i="5" s="1"/>
  <c r="E28" i="1"/>
  <c r="D93" i="5" s="1"/>
  <c r="F93" i="5" s="1"/>
  <c r="D28" i="1"/>
  <c r="D89" i="5" s="1"/>
  <c r="F89" i="5" s="1"/>
  <c r="G27" i="1"/>
  <c r="G28" i="1" s="1"/>
  <c r="D101" i="5" s="1"/>
  <c r="F101" i="5" s="1"/>
  <c r="F27" i="1"/>
  <c r="E27" i="1"/>
  <c r="D27" i="1"/>
  <c r="C27" i="1"/>
  <c r="C28" i="1" s="1"/>
  <c r="D85" i="5" s="1"/>
  <c r="F85" i="5" s="1"/>
  <c r="G26" i="1"/>
  <c r="G29" i="1" s="1"/>
  <c r="F26" i="1"/>
  <c r="E26" i="1"/>
  <c r="E29" i="1" s="1"/>
  <c r="D26" i="1"/>
  <c r="D29" i="1" s="1"/>
  <c r="C26" i="1"/>
  <c r="C29" i="1" s="1"/>
  <c r="E22" i="1"/>
  <c r="G21" i="1"/>
  <c r="D74" i="5" s="1"/>
  <c r="F74" i="5" s="1"/>
  <c r="F21" i="1"/>
  <c r="D70" i="5" s="1"/>
  <c r="F70" i="5" s="1"/>
  <c r="D21" i="1"/>
  <c r="D62" i="5" s="1"/>
  <c r="F62" i="5" s="1"/>
  <c r="G20" i="1"/>
  <c r="F20" i="1"/>
  <c r="E20" i="1"/>
  <c r="E21" i="1" s="1"/>
  <c r="D66" i="5" s="1"/>
  <c r="F66" i="5" s="1"/>
  <c r="D20" i="1"/>
  <c r="C20" i="1"/>
  <c r="C21" i="1" s="1"/>
  <c r="D58" i="5" s="1"/>
  <c r="F58" i="5" s="1"/>
  <c r="G19" i="1"/>
  <c r="G22" i="1" s="1"/>
  <c r="F19" i="1"/>
  <c r="F22" i="1" s="1"/>
  <c r="E19" i="1"/>
  <c r="D19" i="1"/>
  <c r="D22" i="1" s="1"/>
  <c r="C19" i="1"/>
  <c r="C22" i="1" s="1"/>
  <c r="G15" i="1"/>
  <c r="D48" i="5" s="1"/>
  <c r="F48" i="5" s="1"/>
  <c r="G14" i="1"/>
  <c r="D47" i="5" s="1"/>
  <c r="F47" i="5" s="1"/>
  <c r="G13" i="1"/>
  <c r="F13" i="1"/>
  <c r="F14" i="1" s="1"/>
  <c r="D43" i="5" s="1"/>
  <c r="F43" i="5" s="1"/>
  <c r="E13" i="1"/>
  <c r="E14" i="1" s="1"/>
  <c r="D39" i="5" s="1"/>
  <c r="F39" i="5" s="1"/>
  <c r="D13" i="1"/>
  <c r="D14" i="1" s="1"/>
  <c r="D35" i="5" s="1"/>
  <c r="F35" i="5" s="1"/>
  <c r="C13" i="1"/>
  <c r="C14" i="1" s="1"/>
  <c r="D31" i="5" s="1"/>
  <c r="F31" i="5" s="1"/>
  <c r="G12" i="1"/>
  <c r="F12" i="1"/>
  <c r="F15" i="1" s="1"/>
  <c r="E12" i="1"/>
  <c r="E15" i="1" s="1"/>
  <c r="D12" i="1"/>
  <c r="D15" i="1" s="1"/>
  <c r="D16" i="1" s="1"/>
  <c r="C12" i="1"/>
  <c r="C15" i="1" s="1"/>
  <c r="F8" i="1"/>
  <c r="D17" i="5" s="1"/>
  <c r="F17" i="5" s="1"/>
  <c r="C8" i="1"/>
  <c r="D5" i="5" s="1"/>
  <c r="F5" i="5" s="1"/>
  <c r="G6" i="1"/>
  <c r="G7" i="1" s="1"/>
  <c r="D20" i="5" s="1"/>
  <c r="F20" i="5" s="1"/>
  <c r="F6" i="1"/>
  <c r="F7" i="1" s="1"/>
  <c r="D16" i="5" s="1"/>
  <c r="F16" i="5" s="1"/>
  <c r="E6" i="1"/>
  <c r="E7" i="1" s="1"/>
  <c r="D12" i="5" s="1"/>
  <c r="F12" i="5" s="1"/>
  <c r="D6" i="1"/>
  <c r="D7" i="1" s="1"/>
  <c r="D8" i="5" s="1"/>
  <c r="F8" i="5" s="1"/>
  <c r="C6" i="1"/>
  <c r="C7" i="1" s="1"/>
  <c r="D4" i="5" s="1"/>
  <c r="F4" i="5" s="1"/>
  <c r="G5" i="1"/>
  <c r="G8" i="1" s="1"/>
  <c r="F5" i="1"/>
  <c r="E5" i="1"/>
  <c r="E8" i="1" s="1"/>
  <c r="D5" i="1"/>
  <c r="D8" i="1" s="1"/>
  <c r="C5" i="1"/>
  <c r="C30" i="1" l="1"/>
  <c r="D8" i="2"/>
  <c r="D14" i="2" s="1"/>
  <c r="E12" i="2"/>
  <c r="D106" i="5" s="1"/>
  <c r="F106" i="5" s="1"/>
  <c r="C8" i="2"/>
  <c r="C14" i="2" s="1"/>
  <c r="C22" i="2" s="1"/>
  <c r="C23" i="2" s="1"/>
  <c r="D56" i="5" s="1"/>
  <c r="F56" i="5" s="1"/>
  <c r="C12" i="2"/>
  <c r="D52" i="5" s="1"/>
  <c r="F52" i="5" s="1"/>
  <c r="F30" i="1"/>
  <c r="F31" i="1" s="1"/>
  <c r="D100" i="5" s="1"/>
  <c r="F100" i="5" s="1"/>
  <c r="D12" i="2"/>
  <c r="D79" i="5" s="1"/>
  <c r="F79" i="5" s="1"/>
  <c r="E23" i="1"/>
  <c r="D68" i="5" s="1"/>
  <c r="F68" i="5" s="1"/>
  <c r="B12" i="2"/>
  <c r="D25" i="5" s="1"/>
  <c r="F25" i="5" s="1"/>
  <c r="B8" i="2"/>
  <c r="B14" i="2" s="1"/>
  <c r="D24" i="5" s="1"/>
  <c r="F24" i="5" s="1"/>
  <c r="F12" i="2"/>
  <c r="D133" i="5" s="1"/>
  <c r="F133" i="5" s="1"/>
  <c r="D37" i="1"/>
  <c r="D38" i="1" s="1"/>
  <c r="D119" i="5" s="1"/>
  <c r="F119" i="5" s="1"/>
  <c r="E8" i="2"/>
  <c r="E14" i="2" s="1"/>
  <c r="E22" i="2" s="1"/>
  <c r="E23" i="2" s="1"/>
  <c r="D110" i="5" s="1"/>
  <c r="F110" i="5" s="1"/>
  <c r="G16" i="1"/>
  <c r="D49" i="5" s="1"/>
  <c r="F49" i="5" s="1"/>
  <c r="D32" i="5"/>
  <c r="F32" i="5" s="1"/>
  <c r="C16" i="1"/>
  <c r="D124" i="5"/>
  <c r="F124" i="5" s="1"/>
  <c r="F37" i="1"/>
  <c r="D78" i="5"/>
  <c r="F78" i="5" s="1"/>
  <c r="D17" i="1"/>
  <c r="D38" i="5" s="1"/>
  <c r="F38" i="5" s="1"/>
  <c r="D37" i="5"/>
  <c r="F37" i="5" s="1"/>
  <c r="D9" i="1"/>
  <c r="D9" i="5"/>
  <c r="F9" i="5" s="1"/>
  <c r="F23" i="1"/>
  <c r="D71" i="5"/>
  <c r="F71" i="5" s="1"/>
  <c r="D23" i="1"/>
  <c r="D63" i="5"/>
  <c r="F63" i="5" s="1"/>
  <c r="D87" i="5"/>
  <c r="F87" i="5" s="1"/>
  <c r="C31" i="1"/>
  <c r="G23" i="1"/>
  <c r="D75" i="5"/>
  <c r="F75" i="5" s="1"/>
  <c r="C37" i="1"/>
  <c r="D113" i="5"/>
  <c r="F113" i="5" s="1"/>
  <c r="B22" i="2"/>
  <c r="B23" i="2" s="1"/>
  <c r="D29" i="5" s="1"/>
  <c r="F29" i="5" s="1"/>
  <c r="B20" i="2"/>
  <c r="B21" i="2" s="1"/>
  <c r="D28" i="5" s="1"/>
  <c r="F28" i="5" s="1"/>
  <c r="E9" i="1"/>
  <c r="D13" i="5"/>
  <c r="F13" i="5" s="1"/>
  <c r="D30" i="1"/>
  <c r="D90" i="5"/>
  <c r="F90" i="5" s="1"/>
  <c r="G9" i="1"/>
  <c r="D21" i="5"/>
  <c r="F21" i="5" s="1"/>
  <c r="E30" i="1"/>
  <c r="D94" i="5"/>
  <c r="F94" i="5" s="1"/>
  <c r="D121" i="5"/>
  <c r="F121" i="5" s="1"/>
  <c r="E37" i="1"/>
  <c r="C17" i="2"/>
  <c r="D51" i="5"/>
  <c r="F51" i="5" s="1"/>
  <c r="D132" i="5"/>
  <c r="F132" i="5" s="1"/>
  <c r="F16" i="1"/>
  <c r="D44" i="5"/>
  <c r="F44" i="5" s="1"/>
  <c r="D102" i="5"/>
  <c r="F102" i="5" s="1"/>
  <c r="G30" i="1"/>
  <c r="G37" i="1"/>
  <c r="D129" i="5"/>
  <c r="F129" i="5" s="1"/>
  <c r="E17" i="2"/>
  <c r="D105" i="5"/>
  <c r="F105" i="5" s="1"/>
  <c r="C23" i="1"/>
  <c r="D59" i="5"/>
  <c r="F59" i="5" s="1"/>
  <c r="D40" i="5"/>
  <c r="F40" i="5" s="1"/>
  <c r="E16" i="1"/>
  <c r="D36" i="5"/>
  <c r="F36" i="5" s="1"/>
  <c r="D99" i="5"/>
  <c r="F99" i="5" s="1"/>
  <c r="C9" i="1"/>
  <c r="F9" i="1"/>
  <c r="D86" i="5"/>
  <c r="F86" i="5" s="1"/>
  <c r="D67" i="5"/>
  <c r="F67" i="5" s="1"/>
  <c r="D17" i="2" l="1"/>
  <c r="D19" i="2" s="1"/>
  <c r="D81" i="5" s="1"/>
  <c r="F81" i="5" s="1"/>
  <c r="F20" i="2"/>
  <c r="F21" i="2" s="1"/>
  <c r="D136" i="5" s="1"/>
  <c r="F136" i="5" s="1"/>
  <c r="G17" i="1"/>
  <c r="F22" i="2"/>
  <c r="F23" i="2" s="1"/>
  <c r="D137" i="5" s="1"/>
  <c r="F137" i="5" s="1"/>
  <c r="B17" i="2"/>
  <c r="D26" i="5" s="1"/>
  <c r="F26" i="5" s="1"/>
  <c r="E24" i="1"/>
  <c r="D69" i="5" s="1"/>
  <c r="F69" i="5" s="1"/>
  <c r="E20" i="2"/>
  <c r="E21" i="2" s="1"/>
  <c r="D109" i="5" s="1"/>
  <c r="F109" i="5" s="1"/>
  <c r="D20" i="2"/>
  <c r="D21" i="2" s="1"/>
  <c r="D82" i="5" s="1"/>
  <c r="F82" i="5" s="1"/>
  <c r="D22" i="2"/>
  <c r="D23" i="2" s="1"/>
  <c r="D83" i="5" s="1"/>
  <c r="F83" i="5" s="1"/>
  <c r="C20" i="2"/>
  <c r="C21" i="2" s="1"/>
  <c r="D55" i="5" s="1"/>
  <c r="F55" i="5" s="1"/>
  <c r="D118" i="5"/>
  <c r="F118" i="5" s="1"/>
  <c r="F17" i="2"/>
  <c r="D134" i="5" s="1"/>
  <c r="F134" i="5" s="1"/>
  <c r="D130" i="5"/>
  <c r="F130" i="5" s="1"/>
  <c r="G38" i="1"/>
  <c r="D114" i="5"/>
  <c r="F114" i="5" s="1"/>
  <c r="C38" i="1"/>
  <c r="D103" i="5"/>
  <c r="F103" i="5" s="1"/>
  <c r="G31" i="1"/>
  <c r="E31" i="1"/>
  <c r="D96" i="5" s="1"/>
  <c r="F96" i="5" s="1"/>
  <c r="D95" i="5"/>
  <c r="F95" i="5" s="1"/>
  <c r="G24" i="1"/>
  <c r="D76" i="5"/>
  <c r="F76" i="5" s="1"/>
  <c r="E19" i="2"/>
  <c r="D108" i="5" s="1"/>
  <c r="F108" i="5" s="1"/>
  <c r="D107" i="5"/>
  <c r="F107" i="5" s="1"/>
  <c r="C19" i="2"/>
  <c r="D54" i="5" s="1"/>
  <c r="F54" i="5" s="1"/>
  <c r="D53" i="5"/>
  <c r="F53" i="5" s="1"/>
  <c r="F17" i="1"/>
  <c r="D46" i="5" s="1"/>
  <c r="F46" i="5" s="1"/>
  <c r="D45" i="5"/>
  <c r="F45" i="5" s="1"/>
  <c r="G10" i="1"/>
  <c r="D22" i="5"/>
  <c r="F22" i="5" s="1"/>
  <c r="E17" i="1"/>
  <c r="D42" i="5" s="1"/>
  <c r="F42" i="5" s="1"/>
  <c r="D41" i="5"/>
  <c r="F41" i="5" s="1"/>
  <c r="F38" i="1"/>
  <c r="D127" i="5" s="1"/>
  <c r="F127" i="5" s="1"/>
  <c r="D126" i="5"/>
  <c r="F126" i="5" s="1"/>
  <c r="D10" i="1"/>
  <c r="D11" i="5" s="1"/>
  <c r="F11" i="5" s="1"/>
  <c r="D10" i="5"/>
  <c r="F10" i="5" s="1"/>
  <c r="F19" i="2"/>
  <c r="D135" i="5" s="1"/>
  <c r="F135" i="5" s="1"/>
  <c r="D31" i="1"/>
  <c r="D92" i="5" s="1"/>
  <c r="F92" i="5" s="1"/>
  <c r="D91" i="5"/>
  <c r="F91" i="5" s="1"/>
  <c r="D24" i="1"/>
  <c r="D65" i="5" s="1"/>
  <c r="F65" i="5" s="1"/>
  <c r="D64" i="5"/>
  <c r="F64" i="5" s="1"/>
  <c r="F10" i="1"/>
  <c r="D19" i="5" s="1"/>
  <c r="F19" i="5" s="1"/>
  <c r="D18" i="5"/>
  <c r="F18" i="5" s="1"/>
  <c r="C25" i="2"/>
  <c r="D50" i="5"/>
  <c r="F50" i="5" s="1"/>
  <c r="D88" i="5"/>
  <c r="F88" i="5" s="1"/>
  <c r="E26" i="2"/>
  <c r="C24" i="1"/>
  <c r="D60" i="5"/>
  <c r="F60" i="5" s="1"/>
  <c r="E10" i="1"/>
  <c r="D15" i="5" s="1"/>
  <c r="F15" i="5" s="1"/>
  <c r="D14" i="5"/>
  <c r="F14" i="5" s="1"/>
  <c r="D72" i="5"/>
  <c r="F72" i="5" s="1"/>
  <c r="F24" i="1"/>
  <c r="D73" i="5" s="1"/>
  <c r="F73" i="5" s="1"/>
  <c r="D122" i="5"/>
  <c r="F122" i="5" s="1"/>
  <c r="E38" i="1"/>
  <c r="D123" i="5" s="1"/>
  <c r="F123" i="5" s="1"/>
  <c r="C10" i="1"/>
  <c r="D6" i="5"/>
  <c r="F6" i="5" s="1"/>
  <c r="B19" i="2"/>
  <c r="D27" i="5" s="1"/>
  <c r="F27" i="5" s="1"/>
  <c r="D33" i="5"/>
  <c r="F33" i="5" s="1"/>
  <c r="C17" i="1"/>
  <c r="D80" i="5" l="1"/>
  <c r="F80" i="5" s="1"/>
  <c r="C26" i="2"/>
  <c r="D34" i="5"/>
  <c r="F34" i="5" s="1"/>
  <c r="E25" i="2"/>
  <c r="E27" i="2" s="1"/>
  <c r="D111" i="5" s="1"/>
  <c r="F111" i="5" s="1"/>
  <c r="D104" i="5"/>
  <c r="F104" i="5" s="1"/>
  <c r="B26" i="2"/>
  <c r="D7" i="5"/>
  <c r="F7" i="5" s="1"/>
  <c r="B25" i="2"/>
  <c r="B27" i="2" s="1"/>
  <c r="D30" i="5" s="1"/>
  <c r="F30" i="5" s="1"/>
  <c r="D23" i="5"/>
  <c r="F23" i="5" s="1"/>
  <c r="D115" i="5"/>
  <c r="F115" i="5" s="1"/>
  <c r="F26" i="2"/>
  <c r="D61" i="5"/>
  <c r="F61" i="5" s="1"/>
  <c r="D26" i="2"/>
  <c r="D25" i="2"/>
  <c r="D27" i="2" s="1"/>
  <c r="D84" i="5" s="1"/>
  <c r="F84" i="5" s="1"/>
  <c r="D77" i="5"/>
  <c r="F77" i="5" s="1"/>
  <c r="F25" i="2"/>
  <c r="D131" i="5"/>
  <c r="F131" i="5" s="1"/>
  <c r="C27" i="2"/>
  <c r="D57" i="5" s="1"/>
  <c r="F57" i="5" s="1"/>
  <c r="F27" i="2" l="1"/>
  <c r="D138" i="5" s="1"/>
  <c r="F138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C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MSFT Q2 25 — Commercial remaining performance obligation
Value: $368.000B
Public source: https://www.sec.gov/Archives/edgar/data/789019/000095017025100235/msft-20250630.htm
Evidence: Commercial RPO increased to $368B at June 30, 2025.
Classification: public filing / official company disclosure unless stated otherwise.</t>
        </r>
      </text>
    </comment>
    <comment ref="D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MSFT Q3 25 — Commercial remaining performance obligation
Value: $392.000B
Public source: https://www.sec.gov/Archives/edgar/data/789019/000119312525256321/msft-20250930.htm
Evidence: The 10-Q reports $398B total RPO, of which $392B is commercial RPO.
Local source: 01_sources/company_filings/microsoft/Microsoft_2025-10-29_10-Q_msft-20250930.htm
Classification: public filing / official company disclosure unless stated otherwise.</t>
        </r>
      </text>
    </comment>
    <comment ref="E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MSFT Q4 25 — Commercial remaining performance obligation
Value: $625.000B
Public source: https://www.sec.gov/Archives/edgar/data/789019/000119312526027207/msft-20251231.htm
Evidence: Commercial RPO was $625B with a weighted-average duration of approximately 2.5 years.
Local source: 01_sources/company_filings/microsoft/Microsoft_2026-01-28_10-Q_msft-20251231.htm
Classification: public filing / official company disclosure unless stated otherwise.</t>
        </r>
      </text>
    </comment>
    <comment ref="F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MSFT Q1 26 — Commercial remaining performance obligation
Value: $627.000B
Public source: https://www.sec.gov/Archives/edgar/data/789019/000119312526191507/msft-20260331.htm
Evidence: Commercial RPO was $627B with a weighted-average duration of approximately 2.5 years.
Local source: 01_sources/company_filings/microsoft/Microsoft_2026-04-29_10-Q_msft-20260331.htm
Classification: public filing / official company disclosure unless stated otherwise.</t>
        </r>
      </text>
    </comment>
    <comment ref="G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MSFT Q2 26 — Commercial remaining performance obligation
Value: $678.000B
Public source: https://www.sec.gov/Archives/edgar/data/789019/000119312526323660/msft-20260630.htm
Evidence: Commercial remaining performance obligation was $678B; total company RPO was $684B. Weighted-average commercial-RPO duration including OpenAI was 2.3 years.
Local source: 01_sources/company_filings/microsoft/Microsoft_2026-07-29_10-K_msft-20260630.htm
Classification: public filing / official company disclosure unless stated otherwise.</t>
        </r>
      </text>
    </comment>
    <comment ref="C6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MSFT Q2 25 — quarterly capex
Value: $24.200B
Public source: https://www.microsoft.com/en-us/Investor/earnings/FY-2025-Q4/press-release-webcast
Evidence: Official FY25 Q4 transcript: capital expenditures were $24.2B, including finance leases.
Classification: public filing / official company disclosure unless stated otherwise.</t>
        </r>
      </text>
    </comment>
    <comment ref="D6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MSFT Q3 25 — quarterly capex
Value: $34.900B
Public source: https://www.microsoft.com/en-us/Investor/earnings/FY-2026-Q1/press-release-webcast
Evidence: Official FY26 Q1 transcript: capital expenditures were $34.9B.
Local source: 01_sources/company_filings/microsoft/Microsoft_2025-10-29_10-Q_msft-20250930.htm
Classification: public filing / official company disclosure unless stated otherwise.</t>
        </r>
      </text>
    </comment>
    <comment ref="E6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MSFT Q4 25 — quarterly capex
Value: $37.500B
Public source: https://www.microsoft.com/en-us/Investor/earnings/FY-2026-Q2/press-release-webcast
Evidence: Official FY26 Q2 transcript: capital expenditures were $37.5B.
Local source: 01_sources/company_filings/microsoft/Microsoft_2026-01-28_10-Q_msft-20251231.htm
Classification: public filing / official company disclosure unless stated otherwise.</t>
        </r>
      </text>
    </comment>
    <comment ref="F6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MSFT Q1 26 — quarterly capex
Value: $31.900B
Public source: https://www.microsoft.com/en-us/Investor/earnings/FY-2026-Q3/press-release-webcast
Evidence: Official FY26 Q3 transcript: capital expenditures were $31.9B; cash paid for PP&amp;E was $30.9B.
Local source: 01_sources/company_filings/microsoft/Microsoft_2026-04-29_10-Q_msft-20260331.htm
Classification: public filing / official company disclosure unless stated otherwise.</t>
        </r>
      </text>
    </comment>
    <comment ref="G6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MSFT Q2 26 — quarterly capex
Value: $41.000B
Public source: https://www.microsoft.com/en-us/investor/events/fy-2026/earnings-fy-2026-q4
Evidence: Official FY26 Q4 call reports management capex of $41.0B, including $5.6B of finance leases; cash paid for PP&amp;E was $35.8B. The trajectory preserves Microsoft's management capex series.
Local source: 01_sources/company_filings/microsoft/Microsoft_2026-07-29_10-K_msft-20260630.htm
Classification: public filing / official company disclosure unless stated otherwise.</t>
        </r>
      </text>
    </comment>
    <comment ref="C7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DERIVED MODEL OUTPUT — MSFT Q2 25
Formula: quarterly capex × 4 × assumed AI share of capex
Fact source: https://www.sec.gov/Archives/edgar/data/789019/000095017025100235/msft-20250630.htm
Capex source: https://www.microsoft.com/en-us/Investor/earnings/FY-2025-Q4/press-release-webcast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D7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DERIVED MODEL OUTPUT — MSFT Q3 25
Formula: quarterly capex × 4 × assumed AI share of capex
Fact source: https://www.sec.gov/Archives/edgar/data/789019/000119312525256321/msft-20250930.htm
Capex source: https://www.microsoft.com/en-us/Investor/earnings/FY-2026-Q1/press-release-webcast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E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DERIVED MODEL OUTPUT — MSFT Q4 25
Formula: quarterly capex × 4 × assumed AI share of capex
Fact source: https://www.sec.gov/Archives/edgar/data/789019/000119312526027207/msft-20251231.htm
Capex source: https://www.microsoft.com/en-us/Investor/earnings/FY-2026-Q2/press-release-webcast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F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DERIVED MODEL OUTPUT — MSFT Q1 26
Formula: quarterly capex × 4 × assumed AI share of capex
Fact source: https://www.sec.gov/Archives/edgar/data/789019/000119312526191507/msft-20260331.htm
Capex source: https://www.microsoft.com/en-us/Investor/earnings/FY-2026-Q3/press-release-webcast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G7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DERIVED MODEL OUTPUT — MSFT Q2 26
Formula: quarterly capex × 4 × assumed AI share of capex
Fact source: https://www.sec.gov/Archives/edgar/data/789019/000119312526323660/msft-20260630.htm
Capex source: https://www.microsoft.com/en-us/investor/events/fy-2026/earnings-fy-2026-q4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C8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DERIVED MODEL OUTPUT — MSFT Q2 25
Formula: RPO/backlog × assumed AI share ÷ assumed duration
Fact source: https://www.sec.gov/Archives/edgar/data/789019/000095017025100235/msft-20250630.htm
Capex source: https://www.microsoft.com/en-us/Investor/earnings/FY-2025-Q4/press-release-webcast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D8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DERIVED MODEL OUTPUT — MSFT Q3 25
Formula: RPO/backlog × assumed AI share ÷ assumed duration
Fact source: https://www.sec.gov/Archives/edgar/data/789019/000119312525256321/msft-20250930.htm
Capex source: https://www.microsoft.com/en-us/Investor/earnings/FY-2026-Q1/press-release-webcast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E8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DERIVED MODEL OUTPUT — MSFT Q4 25
Formula: RPO/backlog × assumed AI share ÷ assumed duration
Fact source: https://www.sec.gov/Archives/edgar/data/789019/000119312526027207/msft-20251231.htm
Capex source: https://www.microsoft.com/en-us/Investor/earnings/FY-2026-Q2/press-release-webcast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F8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DERIVED MODEL OUTPUT — MSFT Q1 26
Formula: RPO/backlog × assumed AI share ÷ assumed duration
Fact source: https://www.sec.gov/Archives/edgar/data/789019/000119312526191507/msft-20260331.htm
Capex source: https://www.microsoft.com/en-us/Investor/earnings/FY-2026-Q3/press-release-webcast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G8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DERIVED MODEL OUTPUT — MSFT Q2 26
Formula: RPO/backlog × assumed AI share ÷ assumed duration
Fact source: https://www.sec.gov/Archives/edgar/data/789019/000119312526323660/msft-20260630.htm
Capex source: https://www.microsoft.com/en-us/investor/events/fy-2026/earnings-fy-2026-q4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C9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DERIVED MODEL OUTPUT — MSFT Q2 25
Formula: annualized AI revenue proxy × base NOPAT margin ÷ annualized AI capex
Fact source: https://www.sec.gov/Archives/edgar/data/789019/000095017025100235/msft-20250630.htm
Capex source: https://www.microsoft.com/en-us/Investor/earnings/FY-2025-Q4/press-release-webcast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D9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DERIVED MODEL OUTPUT — MSFT Q3 25
Formula: annualized AI revenue proxy × base NOPAT margin ÷ annualized AI capex
Fact source: https://www.sec.gov/Archives/edgar/data/789019/000119312525256321/msft-20250930.htm
Capex source: https://www.microsoft.com/en-us/Investor/earnings/FY-2026-Q1/press-release-webcast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E9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DERIVED MODEL OUTPUT — MSFT Q4 25
Formula: annualized AI revenue proxy × base NOPAT margin ÷ annualized AI capex
Fact source: https://www.sec.gov/Archives/edgar/data/789019/000119312526027207/msft-20251231.htm
Capex source: https://www.microsoft.com/en-us/Investor/earnings/FY-2026-Q2/press-release-webcast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F9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DERIVED MODEL OUTPUT — MSFT Q1 26
Formula: annualized AI revenue proxy × base NOPAT margin ÷ annualized AI capex
Fact source: https://www.sec.gov/Archives/edgar/data/789019/000119312526191507/msft-20260331.htm
Capex source: https://www.microsoft.com/en-us/Investor/earnings/FY-2026-Q3/press-release-webcast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G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DERIVED MODEL OUTPUT — MSFT Q2 26
Formula: annualized AI revenue proxy × base NOPAT margin ÷ annualized AI capex
Fact source: https://www.sec.gov/Archives/edgar/data/789019/000119312526323660/msft-20260630.htm
Capex source: https://www.microsoft.com/en-us/investor/events/fy-2026/earnings-fy-2026-q4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C10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DERIVED MODEL OUTPUT — MSFT Q2 25
Formula: forward ROIC minus Damodaran sector WACC; displayed as percentage points
Fact source: https://www.sec.gov/Archives/edgar/data/789019/000095017025100235/msft-20250630.htm
Capex source: https://www.microsoft.com/en-us/Investor/earnings/FY-2025-Q4/press-release-webcast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D10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DERIVED MODEL OUTPUT — MSFT Q3 25
Formula: forward ROIC minus Damodaran sector WACC; displayed as percentage points
Fact source: https://www.sec.gov/Archives/edgar/data/789019/000119312525256321/msft-20250930.htm
Capex source: https://www.microsoft.com/en-us/Investor/earnings/FY-2026-Q1/press-release-webcast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E10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DERIVED MODEL OUTPUT — MSFT Q4 25
Formula: forward ROIC minus Damodaran sector WACC; displayed as percentage points
Fact source: https://www.sec.gov/Archives/edgar/data/789019/000119312526027207/msft-20251231.htm
Capex source: https://www.microsoft.com/en-us/Investor/earnings/FY-2026-Q2/press-release-webcast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F10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DERIVED MODEL OUTPUT — MSFT Q1 26
Formula: forward ROIC minus Damodaran sector WACC; displayed as percentage points
Fact source: https://www.sec.gov/Archives/edgar/data/789019/000119312526191507/msft-20260331.htm
Capex source: https://www.microsoft.com/en-us/Investor/earnings/FY-2026-Q3/press-release-webcast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G10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DERIVED MODEL OUTPUT — MSFT Q2 26
Formula: forward ROIC minus Damodaran sector WACC; displayed as percentage points
Fact source: https://www.sec.gov/Archives/edgar/data/789019/000119312526323660/msft-20260630.htm
Capex source: https://www.microsoft.com/en-us/investor/events/fy-2026/earnings-fy-2026-q4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C12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GOOG Q2 25 — Revenue backlog / remaining performance obligations
Value: $108.200B
Public source: https://www.sec.gov/Archives/edgar/data/1652044/000165204425000062/goog-20250630.htm
Evidence: Revenue backlog/RPO was $108.2B as of June 30, 2025.
Classification: public filing / official company disclosure unless stated otherwise.</t>
        </r>
      </text>
    </comment>
    <comment ref="D1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GOOG Q3 25 — Revenue backlog / remaining performance obligations
Value: $157.700B
Public source: https://www.sec.gov/Archives/edgar/data/1652044/000165204425000091/goog-20250930.htm
Evidence: Revenue backlog/RPO was $157.7B as of September 30, 2025, primarily related to Google Cloud.
Local source: 01_sources/company_filings/alphabet/Alphabet_2025-10-30_10-Q_goog-20250930.htm
Classification: public filing / official company disclosure unless stated otherwise.</t>
        </r>
      </text>
    </comment>
    <comment ref="E12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GOOG Q4 25 — Revenue backlog / remaining performance obligations
Value: $242.800B
Public source: https://www.sec.gov/Archives/edgar/data/1652044/000165204426000018/goog-20251231.htm
Evidence: Revenue backlog/RPO was $242.8B as of December 31, 2025, primarily related to Google Cloud.
Local source: 01_sources/company_filings/alphabet/Alphabet_2026-02-05_10-K_goog-20251231.htm
Classification: public filing / official company disclosure unless stated otherwise.</t>
        </r>
      </text>
    </comment>
    <comment ref="F12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GOOG Q1 26 — Revenue backlog / remaining performance obligations
Value: $467.600B
Public source: https://www.sec.gov/Archives/edgar/data/1652044/000165204426000048/goog-20260331.htm
Evidence: Revenue backlog/RPO was $467.6B; $462.3B related to Google Cloud. Alphabet changed the definition in Q1 2026 to include original terms of one year or less ($7.3B), so the series has a comparability break.
Local source: 01_sources/company_filings/alphabet/Alphabet_2026-04-30_10-Q_goog-20260331.htm
Classification: public filing / official company disclosure unless stated otherwise.</t>
        </r>
      </text>
    </comment>
    <comment ref="G12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GOOG Q2 26 — Revenue backlog / remaining performance obligations
Value: $519.500B
Public source: https://www.sec.gov/Archives/edgar/data/1652044/000165204426000071/goog-20260630.htm
Evidence: Revenue backlog/RPO was $519.5B, including $513.9B related to Google Cloud. The Q1 2026 short-term-contract definition change remains in effect, and Cloud backlog now includes TPU system-sale agreements; the vast majority remains GCP agreements.
Local source: 01_sources/company_filings/alphabet/Alphabet_2026-07-23_10-Q_goog-20260630.htm
Classification: public filing / official company disclosure unless stated otherwise.</t>
        </r>
      </text>
    </comment>
    <comment ref="C13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GOOG Q2 25 — quarterly capex
Value: $22.446B
Public source: https://www.sec.gov/Archives/edgar/data/1652044/000165204425000062/goog-20250630.htm
Evidence: Quarter capex = $39.643B first-half cash PP&amp;E purchases less $17.197B Q1 = $22.446B.
Classification: public filing / official company disclosure unless stated otherwise.</t>
        </r>
      </text>
    </comment>
    <comment ref="D13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GOOG Q3 25 — quarterly capex
Value: $23.953B
Public source: https://www.sec.gov/Archives/edgar/data/1652044/000165204425000091/goog-20250930.htm
Evidence: Quarter capex = $63.596B nine-month cash PP&amp;E purchases less $39.643B first half = $23.953B.
Local source: 01_sources/company_filings/alphabet/Alphabet_2025-10-30_10-Q_goog-20250930.htm
Classification: public filing / official company disclosure unless stated otherwise.</t>
        </r>
      </text>
    </comment>
    <comment ref="E13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GOOG Q4 25 — quarterly capex
Value: $27.851B
Public source: https://www.sec.gov/Archives/edgar/data/1652044/000165204426000018/goog-20251231.htm
Evidence: Quarter capex = $91.447B FY2025 cash PP&amp;E purchases less $63.596B first nine months = $27.851B.
Local source: 01_sources/company_filings/alphabet/Alphabet_2026-02-05_10-K_goog-20251231.htm
Classification: public filing / official company disclosure unless stated otherwise.</t>
        </r>
      </text>
    </comment>
    <comment ref="F13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GOOG Q1 26 — quarterly capex
Value: $35.674B
Public source: https://www.sec.gov/Archives/edgar/data/1652044/000165204426000048/goog-20260331.htm
Evidence: The Q1 2026 10-Q reports $35.674B of cash purchases of property and equipment.
Local source: 01_sources/company_filings/alphabet/Alphabet_2026-04-30_10-Q_goog-20260331.htm
Classification: public filing / official company disclosure unless stated otherwise.</t>
        </r>
      </text>
    </comment>
    <comment ref="G13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GOOG Q2 26 — quarterly capex
Value: $44.924B
Public source: https://www.sec.gov/Archives/edgar/data/1652044/000165204426000071/goog-20260630.htm
Evidence: The Q2 2026 10-Q reports exact cash purchases of PP&amp;E of $44.924B; narrative disclosure rounds to $44.9B.
Local source: 01_sources/company_filings/alphabet/Alphabet_2026-07-23_10-Q_goog-20260630.htm
Classification: public filing / official company disclosure unless stated otherwise.</t>
        </r>
      </text>
    </comment>
    <comment ref="C14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DERIVED MODEL OUTPUT — GOOG Q2 25
Formula: quarterly capex × 4 × assumed AI share of capex
Fact source: https://www.sec.gov/Archives/edgar/data/1652044/000165204425000062/goog-20250630.htm
Capex source: https://www.sec.gov/Archives/edgar/data/1652044/000165204425000062/goog-20250630.htm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D14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DERIVED MODEL OUTPUT — GOOG Q3 25
Formula: quarterly capex × 4 × assumed AI share of capex
Fact source: https://www.sec.gov/Archives/edgar/data/1652044/000165204425000091/goog-20250930.htm
Capex source: https://www.sec.gov/Archives/edgar/data/1652044/000165204425000091/goog-20250930.htm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E14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DERIVED MODEL OUTPUT — GOOG Q4 25
Formula: quarterly capex × 4 × assumed AI share of capex
Fact source: https://www.sec.gov/Archives/edgar/data/1652044/000165204426000018/goog-20251231.htm
Capex source: https://www.sec.gov/Archives/edgar/data/1652044/000165204426000018/goog-20251231.htm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F14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DERIVED MODEL OUTPUT — GOOG Q1 26
Formula: quarterly capex × 4 × assumed AI share of capex
Fact source: https://www.sec.gov/Archives/edgar/data/1652044/000165204426000048/goog-20260331.htm
Capex source: https://www.sec.gov/Archives/edgar/data/1652044/000165204426000048/goog-20260331.htm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G14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DERIVED MODEL OUTPUT — GOOG Q2 26
Formula: quarterly capex × 4 × assumed AI share of capex
Fact source: https://www.sec.gov/Archives/edgar/data/1652044/000165204426000071/goog-20260630.htm
Capex source: https://www.sec.gov/Archives/edgar/data/1652044/000165204426000071/goog-20260630.htm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C15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DERIVED MODEL OUTPUT — GOOG Q2 25
Formula: RPO/backlog × assumed AI share ÷ assumed duration
Fact source: https://www.sec.gov/Archives/edgar/data/1652044/000165204425000062/goog-20250630.htm
Capex source: https://www.sec.gov/Archives/edgar/data/1652044/000165204425000062/goog-20250630.htm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D15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DERIVED MODEL OUTPUT — GOOG Q3 25
Formula: RPO/backlog × assumed AI share ÷ assumed duration
Fact source: https://www.sec.gov/Archives/edgar/data/1652044/000165204425000091/goog-20250930.htm
Capex source: https://www.sec.gov/Archives/edgar/data/1652044/000165204425000091/goog-20250930.htm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E15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DERIVED MODEL OUTPUT — GOOG Q4 25
Formula: RPO/backlog × assumed AI share ÷ assumed duration
Fact source: https://www.sec.gov/Archives/edgar/data/1652044/000165204426000018/goog-20251231.htm
Capex source: https://www.sec.gov/Archives/edgar/data/1652044/000165204426000018/goog-20251231.htm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F15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DERIVED MODEL OUTPUT — GOOG Q1 26
Formula: RPO/backlog × assumed AI share ÷ assumed duration
Fact source: https://www.sec.gov/Archives/edgar/data/1652044/000165204426000048/goog-20260331.htm
Capex source: https://www.sec.gov/Archives/edgar/data/1652044/000165204426000048/goog-20260331.htm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G15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DERIVED MODEL OUTPUT — GOOG Q2 26
Formula: RPO/backlog × assumed AI share ÷ assumed duration
Fact source: https://www.sec.gov/Archives/edgar/data/1652044/000165204426000071/goog-20260630.htm
Capex source: https://www.sec.gov/Archives/edgar/data/1652044/000165204426000071/goog-20260630.htm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C16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DERIVED MODEL OUTPUT — GOOG Q2 25
Formula: annualized AI revenue proxy × base NOPAT margin ÷ annualized AI capex
Fact source: https://www.sec.gov/Archives/edgar/data/1652044/000165204425000062/goog-20250630.htm
Capex source: https://www.sec.gov/Archives/edgar/data/1652044/000165204425000062/goog-20250630.htm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D16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DERIVED MODEL OUTPUT — GOOG Q3 25
Formula: annualized AI revenue proxy × base NOPAT margin ÷ annualized AI capex
Fact source: https://www.sec.gov/Archives/edgar/data/1652044/000165204425000091/goog-20250930.htm
Capex source: https://www.sec.gov/Archives/edgar/data/1652044/000165204425000091/goog-20250930.htm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E16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DERIVED MODEL OUTPUT — GOOG Q4 25
Formula: annualized AI revenue proxy × base NOPAT margin ÷ annualized AI capex
Fact source: https://www.sec.gov/Archives/edgar/data/1652044/000165204426000018/goog-20251231.htm
Capex source: https://www.sec.gov/Archives/edgar/data/1652044/000165204426000018/goog-20251231.htm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F16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DERIVED MODEL OUTPUT — GOOG Q1 26
Formula: annualized AI revenue proxy × base NOPAT margin ÷ annualized AI capex
Fact source: https://www.sec.gov/Archives/edgar/data/1652044/000165204426000048/goog-20260331.htm
Capex source: https://www.sec.gov/Archives/edgar/data/1652044/000165204426000048/goog-20260331.htm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G16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DERIVED MODEL OUTPUT — GOOG Q2 26
Formula: annualized AI revenue proxy × base NOPAT margin ÷ annualized AI capex
Fact source: https://www.sec.gov/Archives/edgar/data/1652044/000165204426000071/goog-20260630.htm
Capex source: https://www.sec.gov/Archives/edgar/data/1652044/000165204426000071/goog-20260630.htm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C17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DERIVED MODEL OUTPUT — GOOG Q2 25
Formula: forward ROIC minus Damodaran sector WACC; displayed as percentage points
Fact source: https://www.sec.gov/Archives/edgar/data/1652044/000165204425000062/goog-20250630.htm
Capex source: https://www.sec.gov/Archives/edgar/data/1652044/000165204425000062/goog-20250630.htm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D17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DERIVED MODEL OUTPUT — GOOG Q3 25
Formula: forward ROIC minus Damodaran sector WACC; displayed as percentage points
Fact source: https://www.sec.gov/Archives/edgar/data/1652044/000165204425000091/goog-20250930.htm
Capex source: https://www.sec.gov/Archives/edgar/data/1652044/000165204425000091/goog-20250930.htm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E17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DERIVED MODEL OUTPUT — GOOG Q4 25
Formula: forward ROIC minus Damodaran sector WACC; displayed as percentage points
Fact source: https://www.sec.gov/Archives/edgar/data/1652044/000165204426000018/goog-20251231.htm
Capex source: https://www.sec.gov/Archives/edgar/data/1652044/000165204426000018/goog-20251231.htm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F17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DERIVED MODEL OUTPUT — GOOG Q1 26
Formula: forward ROIC minus Damodaran sector WACC; displayed as percentage points
Fact source: https://www.sec.gov/Archives/edgar/data/1652044/000165204426000048/goog-20260331.htm
Capex source: https://www.sec.gov/Archives/edgar/data/1652044/000165204426000048/goog-20260331.htm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G17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DERIVED MODEL OUTPUT — GOOG Q2 26
Formula: forward ROIC minus Damodaran sector WACC; displayed as percentage points
Fact source: https://www.sec.gov/Archives/edgar/data/1652044/000165204426000071/goog-20260630.htm
Capex source: https://www.sec.gov/Archives/edgar/data/1652044/000165204426000071/goog-20260630.htm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C19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AMZN Q2 25 — Long-term customer commitments, primarily AWS
Value: $195.000B
Public source: https://www.sec.gov/Archives/edgar/data/1018724/000101872425000086/amzn-20250630.htm
Evidence: Long-term customer commitments, primarily AWS, were approximately $195B as of June 30, 2025.
Classification: public filing / official company disclosure unless stated otherwise.</t>
        </r>
      </text>
    </comment>
    <comment ref="D19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AMZN Q3 25 — Long-term customer commitments, primarily AWS
Value: $200.000B
Public source: https://www.sec.gov/Archives/edgar/data/1018724/000101872425000123/amzn-20250930.htm
Evidence: Long-term customer commitments, primarily AWS, were approximately $200B; weighted-average remaining life was 3.8 years.
Local source: 01_sources/company_filings/amazon/Amazon_2025-10-31_10-Q_amzn-20250930.htm
Classification: public filing / official company disclosure unless stated otherwise.</t>
        </r>
      </text>
    </comment>
    <comment ref="E19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AMZN Q4 25 — Long-term customer commitments, primarily AWS
Value: $244.000B
Public source: https://www.sec.gov/Archives/edgar/data/1018724/000101872426000004/amzn-20251231.htm
Evidence: Long-term customer commitments, primarily AWS, were approximately $244B as of December 31, 2025.
Local source: 01_sources/company_filings/amazon/Amazon_2026-02-06_10-K_amzn-20251231.htm
Classification: public filing / official company disclosure unless stated otherwise.</t>
        </r>
      </text>
    </comment>
    <comment ref="F19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AMZN Q1 26 — Long-term customer commitments, primarily AWS
Value: $364.000B
Public source: https://www.sec.gov/Archives/edgar/data/1018724/000101872426000014/amzn-20260331.htm
Evidence: Long-term customer commitments, primarily AWS, were approximately $364B as of March 31, 2026—not $464B as shown in the supplied snapshot. Weighted-average remaining life was 5.5 years.
Local source: 01_sources/company_filings/amazon/Amazon_2026-04-30_10-Q_amzn-20260331.htm
Classification: public filing / official company disclosure unless stated otherwise.</t>
        </r>
      </text>
    </comment>
    <comment ref="G19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AMZN Q2 26 — Long-term customer commitments, primarily AWS
Value: $496.000B
Public source: https://www.sec.gov/Archives/edgar/data/1018724/000101872426000026/amzn-20260630.htm
Evidence: Long-term customer commitments, primarily AWS, were approximately $496B; weighted-average remaining life was 6.4 years. Anthropic's expanded commitment is already included in the total and must not be added separately.
Local source: 01_sources/company_filings/amazon/Amazon_2026-07-31_10-Q_amzn-20260630.htm
Classification: public filing / official company disclosure unless stated otherwise.</t>
        </r>
      </text>
    </comment>
    <comment ref="C20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AMZN Q2 25 — quarterly capex
Value: $32.183B
Public source: https://www.sec.gov/Archives/edgar/data/1018724/000101872425000086/amzn-20250630.htm
Evidence: SEC XBRL PaymentsToAcquireProductiveAssets for Q2 2025 was $32.183B.
Classification: public filing / official company disclosure unless stated otherwise.</t>
        </r>
      </text>
    </comment>
    <comment ref="D20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AMZN Q3 25 — quarterly capex
Value: $35.095B
Public source: https://www.sec.gov/Archives/edgar/data/1018724/000101872425000123/amzn-20250930.htm
Evidence: SEC XBRL PaymentsToAcquireProductiveAssets for Q3 2025 was $35.095B.
Local source: 01_sources/company_filings/amazon/Amazon_2025-10-31_10-Q_amzn-20250930.htm
Classification: public filing / official company disclosure unless stated otherwise.</t>
        </r>
      </text>
    </comment>
    <comment ref="E20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AMZN Q4 25 — quarterly capex
Value: $39.522B
Public source: https://www.sec.gov/Archives/edgar/data/1018724/000101872426000004/amzn-20251231.htm
Evidence: Quarter capex = $131.819B FY2025 less $92.297B first nine months = $39.522B.
Local source: 01_sources/company_filings/amazon/Amazon_2026-02-06_10-K_amzn-20251231.htm
Classification: public filing / official company disclosure unless stated otherwise.</t>
        </r>
      </text>
    </comment>
    <comment ref="F20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AMZN Q1 26 — quarterly capex
Value: $44.203B
Public source: https://www.sec.gov/Archives/edgar/data/1018724/000101872426000014/amzn-20260331.htm
Evidence: SEC XBRL PaymentsToAcquireProductiveAssets was $44.203B. Amazon's narrative cash-capex measure was $43.2B; this model uses the standardized XBRL series consistently across quarters.
Local source: 01_sources/company_filings/amazon/Amazon_2026-04-30_10-Q_amzn-20260331.htm
Classification: public filing / official company disclosure unless stated otherwise.</t>
        </r>
      </text>
    </comment>
    <comment ref="G20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AMZN Q2 26 — quarterly capex
Value: $54.208B
Public source: https://www.sec.gov/Archives/edgar/data/1018724/000101872426000026/amzn-20260630.htm
Evidence: Gross cash PP&amp;E purchases were $54.208B, also reconciling as $98.411B first half less $44.203B Q1. Amazon's separate net cash-capex measure was $53.076B; the model preserves the gross series.
Local source: 01_sources/company_filings/amazon/Amazon_2026-07-31_10-Q_amzn-20260630.htm
Classification: public filing / official company disclosure unless stated otherwise.</t>
        </r>
      </text>
    </comment>
    <comment ref="C21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DERIVED MODEL OUTPUT — AMZN Q2 25
Formula: quarterly capex × 4 × assumed AI share of capex
Fact source: https://www.sec.gov/Archives/edgar/data/1018724/000101872425000086/amzn-20250630.htm
Capex source: https://www.sec.gov/Archives/edgar/data/1018724/000101872425000086/amzn-20250630.htm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D21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DERIVED MODEL OUTPUT — AMZN Q3 25
Formula: quarterly capex × 4 × assumed AI share of capex
Fact source: https://www.sec.gov/Archives/edgar/data/1018724/000101872425000123/amzn-20250930.htm
Capex source: https://www.sec.gov/Archives/edgar/data/1018724/000101872425000123/amzn-20250930.htm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E21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DERIVED MODEL OUTPUT — AMZN Q4 25
Formula: quarterly capex × 4 × assumed AI share of capex
Fact source: https://www.sec.gov/Archives/edgar/data/1018724/000101872426000004/amzn-20251231.htm
Capex source: https://www.sec.gov/Archives/edgar/data/1018724/000101872426000004/amzn-20251231.htm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F21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DERIVED MODEL OUTPUT — AMZN Q1 26
Formula: quarterly capex × 4 × assumed AI share of capex
Fact source: https://www.sec.gov/Archives/edgar/data/1018724/000101872426000014/amzn-20260331.htm
Capex source: https://www.sec.gov/Archives/edgar/data/1018724/000101872426000014/amzn-20260331.htm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G21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DERIVED MODEL OUTPUT — AMZN Q2 26
Formula: quarterly capex × 4 × assumed AI share of capex
Fact source: https://www.sec.gov/Archives/edgar/data/1018724/000101872426000026/amzn-20260630.htm
Capex source: https://www.sec.gov/Archives/edgar/data/1018724/000101872426000026/amzn-20260630.htm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C22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DERIVED MODEL OUTPUT — AMZN Q2 25
Formula: RPO/backlog × assumed AI share ÷ assumed duration
Fact source: https://www.sec.gov/Archives/edgar/data/1018724/000101872425000086/amzn-20250630.htm
Capex source: https://www.sec.gov/Archives/edgar/data/1018724/000101872425000086/amzn-20250630.htm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D22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DERIVED MODEL OUTPUT — AMZN Q3 25
Formula: RPO/backlog × assumed AI share ÷ assumed duration
Fact source: https://www.sec.gov/Archives/edgar/data/1018724/000101872425000123/amzn-20250930.htm
Capex source: https://www.sec.gov/Archives/edgar/data/1018724/000101872425000123/amzn-20250930.htm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E22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DERIVED MODEL OUTPUT — AMZN Q4 25
Formula: RPO/backlog × assumed AI share ÷ assumed duration
Fact source: https://www.sec.gov/Archives/edgar/data/1018724/000101872426000004/amzn-20251231.htm
Capex source: https://www.sec.gov/Archives/edgar/data/1018724/000101872426000004/amzn-20251231.htm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F22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DERIVED MODEL OUTPUT — AMZN Q1 26
Formula: RPO/backlog × assumed AI share ÷ assumed duration
Fact source: https://www.sec.gov/Archives/edgar/data/1018724/000101872426000014/amzn-20260331.htm
Capex source: https://www.sec.gov/Archives/edgar/data/1018724/000101872426000014/amzn-20260331.htm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G22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DERIVED MODEL OUTPUT — AMZN Q2 26
Formula: RPO/backlog × assumed AI share ÷ assumed duration
Fact source: https://www.sec.gov/Archives/edgar/data/1018724/000101872426000026/amzn-20260630.htm
Capex source: https://www.sec.gov/Archives/edgar/data/1018724/000101872426000026/amzn-20260630.htm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C23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DERIVED MODEL OUTPUT — AMZN Q2 25
Formula: annualized AI revenue proxy × base NOPAT margin ÷ annualized AI capex
Fact source: https://www.sec.gov/Archives/edgar/data/1018724/000101872425000086/amzn-20250630.htm
Capex source: https://www.sec.gov/Archives/edgar/data/1018724/000101872425000086/amzn-20250630.htm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D23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DERIVED MODEL OUTPUT — AMZN Q3 25
Formula: annualized AI revenue proxy × base NOPAT margin ÷ annualized AI capex
Fact source: https://www.sec.gov/Archives/edgar/data/1018724/000101872425000123/amzn-20250930.htm
Capex source: https://www.sec.gov/Archives/edgar/data/1018724/000101872425000123/amzn-20250930.htm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E23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DERIVED MODEL OUTPUT — AMZN Q4 25
Formula: annualized AI revenue proxy × base NOPAT margin ÷ annualized AI capex
Fact source: https://www.sec.gov/Archives/edgar/data/1018724/000101872426000004/amzn-20251231.htm
Capex source: https://www.sec.gov/Archives/edgar/data/1018724/000101872426000004/amzn-20251231.htm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F23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DERIVED MODEL OUTPUT — AMZN Q1 26
Formula: annualized AI revenue proxy × base NOPAT margin ÷ annualized AI capex
Fact source: https://www.sec.gov/Archives/edgar/data/1018724/000101872426000014/amzn-20260331.htm
Capex source: https://www.sec.gov/Archives/edgar/data/1018724/000101872426000014/amzn-20260331.htm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G23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DERIVED MODEL OUTPUT — AMZN Q2 26
Formula: annualized AI revenue proxy × base NOPAT margin ÷ annualized AI capex
Fact source: https://www.sec.gov/Archives/edgar/data/1018724/000101872426000026/amzn-20260630.htm
Capex source: https://www.sec.gov/Archives/edgar/data/1018724/000101872426000026/amzn-20260630.htm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C24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DERIVED MODEL OUTPUT — AMZN Q2 25
Formula: forward ROIC minus Damodaran sector WACC; displayed as percentage points
Fact source: https://www.sec.gov/Archives/edgar/data/1018724/000101872425000086/amzn-20250630.htm
Capex source: https://www.sec.gov/Archives/edgar/data/1018724/000101872425000086/amzn-20250630.htm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D24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DERIVED MODEL OUTPUT — AMZN Q3 25
Formula: forward ROIC minus Damodaran sector WACC; displayed as percentage points
Fact source: https://www.sec.gov/Archives/edgar/data/1018724/000101872425000123/amzn-20250930.htm
Capex source: https://www.sec.gov/Archives/edgar/data/1018724/000101872425000123/amzn-20250930.htm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E24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DERIVED MODEL OUTPUT — AMZN Q4 25
Formula: forward ROIC minus Damodaran sector WACC; displayed as percentage points
Fact source: https://www.sec.gov/Archives/edgar/data/1018724/000101872426000004/amzn-20251231.htm
Capex source: https://www.sec.gov/Archives/edgar/data/1018724/000101872426000004/amzn-20251231.htm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F24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DERIVED MODEL OUTPUT — AMZN Q1 26
Formula: forward ROIC minus Damodaran sector WACC; displayed as percentage points
Fact source: https://www.sec.gov/Archives/edgar/data/1018724/000101872426000014/amzn-20260331.htm
Capex source: https://www.sec.gov/Archives/edgar/data/1018724/000101872426000014/amzn-20260331.htm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G24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DERIVED MODEL OUTPUT — AMZN Q2 26
Formula: forward ROIC minus Damodaran sector WACC; displayed as percentage points
Fact source: https://www.sec.gov/Archives/edgar/data/1018724/000101872426000026/amzn-20260630.htm
Capex source: https://www.sec.gov/Archives/edgar/data/1018724/000101872426000026/amzn-20260630.htm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C26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ORCL Q2 25 — Remaining performance obligations
Value: $137.800B
Public source: https://www.sec.gov/Archives/edgar/data/1341439/000095017025087926/orcl-20250531.htm
Evidence: Remaining performance obligations were $137.8B as of May 31, 2025.
Classification: public filing / official company disclosure unless stated otherwise.</t>
        </r>
      </text>
    </comment>
    <comment ref="D26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ORCL Q3 25 — Remaining performance obligations
Value: $455.300B
Public source: https://www.sec.gov/Archives/edgar/data/1341439/000119312525200095/orcl-20250831.htm
Evidence: Remaining performance obligations were $455.3B as of August 31, 2025.
Local source: 01_sources/company_filings/oracle/Oracle_2025-09-10_10-Q_orcl-20250831.htm
Classification: public filing / official company disclosure unless stated otherwise.</t>
        </r>
      </text>
    </comment>
    <comment ref="E26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ORCL Q4 25 — Remaining performance obligations
Value: $523.300B
Public source: https://www.sec.gov/Archives/edgar/data/1341439/000119312525315925/orcl-20251130.htm
Evidence: Remaining performance obligations were $523.3B as of November 30, 2025.
Local source: 01_sources/company_filings/oracle/Oracle_2025-12-11_10-Q_orcl-20251130.htm
Classification: public filing / official company disclosure unless stated otherwise.</t>
        </r>
      </text>
    </comment>
    <comment ref="F26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ORCL Q1 26 — Remaining performance obligations
Value: $552.600B
Public source: https://www.sec.gov/Archives/edgar/data/1341439/000119312526101045/orcl-20260228.htm
Evidence: Remaining performance obligations were $552.6B as of February 28, 2026.
Local source: 01_sources/company_filings/oracle/Oracle_2026-03-11_10-Q_orcl-20260228.htm
Classification: public filing / official company disclosure unless stated otherwise.</t>
        </r>
      </text>
    </comment>
    <comment ref="G26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ORCL Q2 26 — Remaining performance obligations
Value: $638.000B
Public source: https://www.sec.gov/Archives/edgar/data/1341439/000119312526277521/orcl-20260531.htm
Evidence: Remaining performance obligations were $638B at May 31, 2026, up $85B sequentially. Oracle's filed release says most Q3/Q4 RPO growth came from large AI contracts and $75B of prepaid or customer-supplied hardware reduces Oracle's own capital requirement.
Local source: 01_sources/company_filings/oracle/Oracle_2026-06-22_10-K_orcl-20260531.htm
Classification: public filing / official company disclosure unless stated otherwise.</t>
        </r>
      </text>
    </comment>
    <comment ref="C27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ORCL Q2 25 — quarterly capex
Value: $9.080B
Public source: https://www.sec.gov/Archives/edgar/data/1341439/000095017025087926/orcl-20250531.htm
Evidence: Quarter capex = $21.215B FY2025 less $12.135B first nine months = $9.080B. The $5.0B in the supplied image is not supported by Oracle's cash-flow filings. Nine-month source: https://www.sec.gov/Archives/edgar/data/1341439/000095017025037143/orcl-20250228.htm
Classification: public filing / official company disclosure unless stated otherwise.</t>
        </r>
      </text>
    </comment>
    <comment ref="D27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ORCL Q3 25 — quarterly capex
Value: $8.502B
Public source: https://www.sec.gov/Archives/edgar/data/1341439/000119312525200095/orcl-20250831.htm
Evidence: The FY26 Q1 cash-flow statement reports $8.502B of capex.
Local source: 01_sources/company_filings/oracle/Oracle_2025-09-10_10-Q_orcl-20250831.htm
Classification: public filing / official company disclosure unless stated otherwise.</t>
        </r>
      </text>
    </comment>
    <comment ref="E27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ORCL Q4 25 — quarterly capex
Value: $12.033B
Public source: https://www.sec.gov/Archives/edgar/data/1341439/000119312525315925/orcl-20251130.htm
Evidence: Quarter capex = $20.535B first half less $8.502B Q1 = $12.033B.
Local source: 01_sources/company_filings/oracle/Oracle_2025-12-11_10-Q_orcl-20251130.htm
Classification: public filing / official company disclosure unless stated otherwise.</t>
        </r>
      </text>
    </comment>
    <comment ref="F27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ORCL Q1 26 — quarterly capex
Value: $18.635B
Public source: https://www.sec.gov/Archives/edgar/data/1341439/000119312526101045/orcl-20260228.htm
Evidence: Quarter capex = $39.170B first nine months less $20.535B first half = $18.635B.
Local source: 01_sources/company_filings/oracle/Oracle_2026-03-11_10-Q_orcl-20260228.htm
Classification: public filing / official company disclosure unless stated otherwise.</t>
        </r>
      </text>
    </comment>
    <comment ref="G27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ORCL Q2 26 — quarterly capex
Value: $16.493B
Public source: https://www.sec.gov/Archives/edgar/data/1341439/000119312526277521/orcl-20260531.htm
Evidence: Quarter capex = $55.663B FY2026 cash capex less $39.170B first nine months = $16.493B.
Local source: 01_sources/company_filings/oracle/Oracle_2026-06-22_10-K_orcl-20260531.htm
Classification: public filing / official company disclosure unless stated otherwise.</t>
        </r>
      </text>
    </comment>
    <comment ref="C28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DERIVED MODEL OUTPUT — ORCL Q2 25
Formula: quarterly capex × 4 × assumed AI share of capex
Fact source: https://www.sec.gov/Archives/edgar/data/1341439/000095017025087926/orcl-20250531.htm
Capex source: https://www.sec.gov/Archives/edgar/data/1341439/000095017025087926/orcl-20250531.htm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D28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DERIVED MODEL OUTPUT — ORCL Q3 25
Formula: quarterly capex × 4 × assumed AI share of capex
Fact source: https://www.sec.gov/Archives/edgar/data/1341439/000119312525200095/orcl-20250831.htm
Capex source: https://www.sec.gov/Archives/edgar/data/1341439/000119312525200095/orcl-20250831.htm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E28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DERIVED MODEL OUTPUT — ORCL Q4 25
Formula: quarterly capex × 4 × assumed AI share of capex
Fact source: https://www.sec.gov/Archives/edgar/data/1341439/000119312525315925/orcl-20251130.htm
Capex source: https://www.sec.gov/Archives/edgar/data/1341439/000119312525315925/orcl-20251130.htm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F28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DERIVED MODEL OUTPUT — ORCL Q1 26
Formula: quarterly capex × 4 × assumed AI share of capex
Fact source: https://www.sec.gov/Archives/edgar/data/1341439/000119312526101045/orcl-20260228.htm
Capex source: https://www.sec.gov/Archives/edgar/data/1341439/000119312526101045/orcl-20260228.htm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G28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DERIVED MODEL OUTPUT — ORCL Q2 26
Formula: quarterly capex × 4 × assumed AI share of capex
Fact source: https://www.sec.gov/Archives/edgar/data/1341439/000119312526277521/orcl-20260531.htm
Capex source: https://www.sec.gov/Archives/edgar/data/1341439/000119312526277521/orcl-20260531.htm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C29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DERIVED MODEL OUTPUT — ORCL Q2 25
Formula: RPO/backlog × assumed AI share ÷ assumed duration
Fact source: https://www.sec.gov/Archives/edgar/data/1341439/000095017025087926/orcl-20250531.htm
Capex source: https://www.sec.gov/Archives/edgar/data/1341439/000095017025087926/orcl-20250531.htm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D29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DERIVED MODEL OUTPUT — ORCL Q3 25
Formula: RPO/backlog × assumed AI share ÷ assumed duration
Fact source: https://www.sec.gov/Archives/edgar/data/1341439/000119312525200095/orcl-20250831.htm
Capex source: https://www.sec.gov/Archives/edgar/data/1341439/000119312525200095/orcl-20250831.htm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E29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DERIVED MODEL OUTPUT — ORCL Q4 25
Formula: RPO/backlog × assumed AI share ÷ assumed duration
Fact source: https://www.sec.gov/Archives/edgar/data/1341439/000119312525315925/orcl-20251130.htm
Capex source: https://www.sec.gov/Archives/edgar/data/1341439/000119312525315925/orcl-20251130.htm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F29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DERIVED MODEL OUTPUT — ORCL Q1 26
Formula: RPO/backlog × assumed AI share ÷ assumed duration
Fact source: https://www.sec.gov/Archives/edgar/data/1341439/000119312526101045/orcl-20260228.htm
Capex source: https://www.sec.gov/Archives/edgar/data/1341439/000119312526101045/orcl-20260228.htm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G29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DERIVED MODEL OUTPUT — ORCL Q2 26
Formula: RPO/backlog × assumed AI share ÷ assumed duration
Fact source: https://www.sec.gov/Archives/edgar/data/1341439/000119312526277521/orcl-20260531.htm
Capex source: https://www.sec.gov/Archives/edgar/data/1341439/000119312526277521/orcl-20260531.htm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C30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DERIVED MODEL OUTPUT — ORCL Q2 25
Formula: annualized AI revenue proxy × base NOPAT margin ÷ annualized AI capex
Fact source: https://www.sec.gov/Archives/edgar/data/1341439/000095017025087926/orcl-20250531.htm
Capex source: https://www.sec.gov/Archives/edgar/data/1341439/000095017025087926/orcl-20250531.htm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D30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DERIVED MODEL OUTPUT — ORCL Q3 25
Formula: annualized AI revenue proxy × base NOPAT margin ÷ annualized AI capex
Fact source: https://www.sec.gov/Archives/edgar/data/1341439/000119312525200095/orcl-20250831.htm
Capex source: https://www.sec.gov/Archives/edgar/data/1341439/000119312525200095/orcl-20250831.htm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E30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DERIVED MODEL OUTPUT — ORCL Q4 25
Formula: annualized AI revenue proxy × base NOPAT margin ÷ annualized AI capex
Fact source: https://www.sec.gov/Archives/edgar/data/1341439/000119312525315925/orcl-20251130.htm
Capex source: https://www.sec.gov/Archives/edgar/data/1341439/000119312525315925/orcl-20251130.htm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F30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DERIVED MODEL OUTPUT — ORCL Q1 26
Formula: annualized AI revenue proxy × base NOPAT margin ÷ annualized AI capex
Fact source: https://www.sec.gov/Archives/edgar/data/1341439/000119312526101045/orcl-20260228.htm
Capex source: https://www.sec.gov/Archives/edgar/data/1341439/000119312526101045/orcl-20260228.htm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G30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DERIVED MODEL OUTPUT — ORCL Q2 26
Formula: annualized AI revenue proxy × base NOPAT margin ÷ annualized AI capex
Fact source: https://www.sec.gov/Archives/edgar/data/1341439/000119312526277521/orcl-20260531.htm
Capex source: https://www.sec.gov/Archives/edgar/data/1341439/000119312526277521/orcl-20260531.htm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C31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DERIVED MODEL OUTPUT — ORCL Q2 25
Formula: forward ROIC minus Damodaran sector WACC; displayed as percentage points
Fact source: https://www.sec.gov/Archives/edgar/data/1341439/000095017025087926/orcl-20250531.htm
Capex source: https://www.sec.gov/Archives/edgar/data/1341439/000095017025087926/orcl-20250531.htm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D31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DERIVED MODEL OUTPUT — ORCL Q3 25
Formula: forward ROIC minus Damodaran sector WACC; displayed as percentage points
Fact source: https://www.sec.gov/Archives/edgar/data/1341439/000119312525200095/orcl-20250831.htm
Capex source: https://www.sec.gov/Archives/edgar/data/1341439/000119312525200095/orcl-20250831.htm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E31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DERIVED MODEL OUTPUT — ORCL Q4 25
Formula: forward ROIC minus Damodaran sector WACC; displayed as percentage points
Fact source: https://www.sec.gov/Archives/edgar/data/1341439/000119312525315925/orcl-20251130.htm
Capex source: https://www.sec.gov/Archives/edgar/data/1341439/000119312525315925/orcl-20251130.htm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F31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DERIVED MODEL OUTPUT — ORCL Q1 26
Formula: forward ROIC minus Damodaran sector WACC; displayed as percentage points
Fact source: https://www.sec.gov/Archives/edgar/data/1341439/000119312526101045/orcl-20260228.htm
Capex source: https://www.sec.gov/Archives/edgar/data/1341439/000119312526101045/orcl-20260228.htm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G31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DERIVED MODEL OUTPUT — ORCL Q2 26
Formula: forward ROIC minus Damodaran sector WACC; displayed as percentage points
Fact source: https://www.sec.gov/Archives/edgar/data/1341439/000119312526277521/orcl-20260531.htm
Capex source: https://www.sec.gov/Archives/edgar/data/1341439/000119312526277521/orcl-20260531.htm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C33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META Q2 25 — Quarterly revenue
Value: $47.516B
Public source: https://www.sec.gov/Archives/edgar/data/1326801/000162828025036791/meta-20250630.htm
Evidence: Q2 2025 revenue was $47.516B.
Classification: public filing / official company disclosure unless stated otherwise.</t>
        </r>
      </text>
    </comment>
    <comment ref="D33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META Q3 25 — Quarterly revenue
Value: $51.242B
Public source: https://www.sec.gov/Archives/edgar/data/1326801/000162828025047240/meta-20250930.htm
Evidence: Q3 2025 revenue was $51.242B.
Local source: 01_sources/company_filings/meta/Meta_2025-10-30_10-Q_meta-20250930.htm
Classification: public filing / official company disclosure unless stated otherwise.</t>
        </r>
      </text>
    </comment>
    <comment ref="E33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META Q4 25 — Quarterly revenue
Value: $59.893B
Public source: https://www.sec.gov/Archives/edgar/data/1326801/000162828026003942/meta-20251231.htm
Evidence: Q4 2025 revenue = $200.966B FY2025 less $141.073B first nine months = $59.893B.
Local source: 01_sources/company_filings/meta/Meta_2026-01-29_10-K_meta-20251231.htm
Classification: public filing / official company disclosure unless stated otherwise.</t>
        </r>
      </text>
    </comment>
    <comment ref="F33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META Q1 26 — Quarterly revenue
Value: $56.311B
Public source: https://www.sec.gov/Archives/edgar/data/1326801/000162828026028526/meta-20260331.htm
Evidence: Q1 2026 revenue was $56.311B. The $240B annualized revenue in the supplied snapshot is based on roughly $60B and does not match the Q1 filing; filing-based annualized revenue is $225.244B.
Local source: 01_sources/company_filings/meta/Meta_2026-04-30_10-Q_meta-20260331.htm
Classification: public filing / official company disclosure unless stated otherwise.</t>
        </r>
      </text>
    </comment>
    <comment ref="G33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META Q2 26 — Quarterly revenue
Value: $60.801B
Public source: https://www.sec.gov/Archives/edgar/data/1326801/000162828026050705/meta-20260630.htm
Evidence: Q2 2026 total company revenue was $60.801B; Meta does not disclose standalone AI revenue.
Local source: 01_sources/company_filings/meta/Meta_2026-07-30_10-Q_meta-20260630.htm
Classification: public filing / official company disclosure unless stated otherwise.</t>
        </r>
      </text>
    </comment>
    <comment ref="C34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META Q2 25 — quarterly capex
Value: $17.012B
Public source: https://www.sec.gov/Archives/edgar/data/1326801/000162828025036791/meta-20250630.htm
Evidence: Company-defined capex including finance-lease principal was $17.012B (reported as $17.01B).
Classification: public filing / official company disclosure unless stated otherwise.</t>
        </r>
      </text>
    </comment>
    <comment ref="D34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META Q3 25 — quarterly capex
Value: $19.374B
Public source: https://www.sec.gov/Archives/edgar/data/1326801/000162828025047240/meta-20250930.htm
Evidence: Company-defined capex including finance-lease principal was $19.374B (reported as $19.37B).
Local source: 01_sources/company_filings/meta/Meta_2025-10-30_10-Q_meta-20250930.htm
Classification: public filing / official company disclosure unless stated otherwise.</t>
        </r>
      </text>
    </comment>
    <comment ref="E34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META Q4 25 — quarterly capex
Value: $22.137B
Public source: https://www.sec.gov/Archives/edgar/data/1326801/000162828026003942/meta-20251231.htm
Evidence: Company-defined capex including finance-lease principal was $22.137B (reported as $22.14B).
Local source: 01_sources/company_filings/meta/Meta_2026-01-29_10-K_meta-20251231.htm
Classification: public filing / official company disclosure unless stated otherwise.</t>
        </r>
      </text>
    </comment>
    <comment ref="F34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META Q1 26 — quarterly capex
Value: $19.840B
Public source: https://www.sec.gov/Archives/edgar/data/1326801/000162828026028526/meta-20260331.htm
Evidence: Company-defined capex was $19.840B: $18.997B cash PP&amp;E purchases plus $0.843B finance-lease principal.
Local source: 01_sources/company_filings/meta/Meta_2026-04-30_10-Q_meta-20260331.htm
Classification: public filing / official company disclosure unless stated otherwise.</t>
        </r>
      </text>
    </comment>
    <comment ref="G34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META Q2 26 — quarterly capex
Value: $31.078B
Public source: https://www.sec.gov/Archives/edgar/data/1326801/000162828026050705/meta-20260630.htm
Evidence: Company-defined capex was $31.078B: $30.116B Q2 cash PP&amp;E purchases plus $0.962B finance-lease principal, reported as $31.08B.
Local source: 01_sources/company_filings/meta/Meta_2026-07-30_10-Q_meta-20260630.htm
Classification: public filing / official company disclosure unless stated otherwise.</t>
        </r>
      </text>
    </comment>
    <comment ref="C35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DERIVED MODEL OUTPUT — META Q2 25
Formula: quarterly capex × 4 × assumed AI share of capex
Fact source: https://www.sec.gov/Archives/edgar/data/1326801/000162828025036791/meta-20250630.htm
Capex source: https://www.sec.gov/Archives/edgar/data/1326801/000162828025036791/meta-20250630.htm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D35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DERIVED MODEL OUTPUT — META Q3 25
Formula: quarterly capex × 4 × assumed AI share of capex
Fact source: https://www.sec.gov/Archives/edgar/data/1326801/000162828025047240/meta-20250930.htm
Capex source: https://www.sec.gov/Archives/edgar/data/1326801/000162828025047240/meta-20250930.htm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E35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DERIVED MODEL OUTPUT — META Q4 25
Formula: quarterly capex × 4 × assumed AI share of capex
Fact source: https://www.sec.gov/Archives/edgar/data/1326801/000162828026003942/meta-20251231.htm
Capex source: https://www.sec.gov/Archives/edgar/data/1326801/000162828026003942/meta-20251231.htm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F35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DERIVED MODEL OUTPUT — META Q1 26
Formula: quarterly capex × 4 × assumed AI share of capex
Fact source: https://www.sec.gov/Archives/edgar/data/1326801/000162828026028526/meta-20260331.htm
Capex source: https://www.sec.gov/Archives/edgar/data/1326801/000162828026028526/meta-20260331.htm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G35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DERIVED MODEL OUTPUT — META Q2 26
Formula: quarterly capex × 4 × assumed AI share of capex
Fact source: https://www.sec.gov/Archives/edgar/data/1326801/000162828026050705/meta-20260630.htm
Capex source: https://www.sec.gov/Archives/edgar/data/1326801/000162828026050705/meta-20260630.htm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C36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DERIVED MODEL OUTPUT — META Q2 25
Formula: quarterly revenue × 4 × assumed AI revenue attribution
Fact source: https://www.sec.gov/Archives/edgar/data/1326801/000162828025036791/meta-20250630.htm
Capex source: https://www.sec.gov/Archives/edgar/data/1326801/000162828025036791/meta-20250630.htm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D36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DERIVED MODEL OUTPUT — META Q3 25
Formula: quarterly revenue × 4 × assumed AI revenue attribution
Fact source: https://www.sec.gov/Archives/edgar/data/1326801/000162828025047240/meta-20250930.htm
Capex source: https://www.sec.gov/Archives/edgar/data/1326801/000162828025047240/meta-20250930.htm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E36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DERIVED MODEL OUTPUT — META Q4 25
Formula: quarterly revenue × 4 × assumed AI revenue attribution
Fact source: https://www.sec.gov/Archives/edgar/data/1326801/000162828026003942/meta-20251231.htm
Capex source: https://www.sec.gov/Archives/edgar/data/1326801/000162828026003942/meta-20251231.htm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F36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DERIVED MODEL OUTPUT — META Q1 26
Formula: quarterly revenue × 4 × assumed AI revenue attribution
Fact source: https://www.sec.gov/Archives/edgar/data/1326801/000162828026028526/meta-20260331.htm
Capex source: https://www.sec.gov/Archives/edgar/data/1326801/000162828026028526/meta-20260331.htm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G36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DERIVED MODEL OUTPUT — META Q2 26
Formula: quarterly revenue × 4 × assumed AI revenue attribution
Fact source: https://www.sec.gov/Archives/edgar/data/1326801/000162828026050705/meta-20260630.htm
Capex source: https://www.sec.gov/Archives/edgar/data/1326801/000162828026050705/meta-20260630.htm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C37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DERIVED MODEL OUTPUT — META Q2 25
Formula: annualized AI revenue proxy × base NOPAT margin ÷ annualized AI capex
Fact source: https://www.sec.gov/Archives/edgar/data/1326801/000162828025036791/meta-20250630.htm
Capex source: https://www.sec.gov/Archives/edgar/data/1326801/000162828025036791/meta-20250630.htm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D37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DERIVED MODEL OUTPUT — META Q3 25
Formula: annualized AI revenue proxy × base NOPAT margin ÷ annualized AI capex
Fact source: https://www.sec.gov/Archives/edgar/data/1326801/000162828025047240/meta-20250930.htm
Capex source: https://www.sec.gov/Archives/edgar/data/1326801/000162828025047240/meta-20250930.htm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E37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DERIVED MODEL OUTPUT — META Q4 25
Formula: annualized AI revenue proxy × base NOPAT margin ÷ annualized AI capex
Fact source: https://www.sec.gov/Archives/edgar/data/1326801/000162828026003942/meta-20251231.htm
Capex source: https://www.sec.gov/Archives/edgar/data/1326801/000162828026003942/meta-20251231.htm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F37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DERIVED MODEL OUTPUT — META Q1 26
Formula: annualized AI revenue proxy × base NOPAT margin ÷ annualized AI capex
Fact source: https://www.sec.gov/Archives/edgar/data/1326801/000162828026028526/meta-20260331.htm
Capex source: https://www.sec.gov/Archives/edgar/data/1326801/000162828026028526/meta-20260331.htm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G37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DERIVED MODEL OUTPUT — META Q2 26
Formula: annualized AI revenue proxy × base NOPAT margin ÷ annualized AI capex
Fact source: https://www.sec.gov/Archives/edgar/data/1326801/000162828026050705/meta-20260630.htm
Capex source: https://www.sec.gov/Archives/edgar/data/1326801/000162828026050705/meta-20260630.htm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C38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DERIVED MODEL OUTPUT — META Q2 25
Formula: forward ROIC minus Damodaran sector WACC; displayed as percentage points
Fact source: https://www.sec.gov/Archives/edgar/data/1326801/000162828025036791/meta-20250630.htm
Capex source: https://www.sec.gov/Archives/edgar/data/1326801/000162828025036791/meta-20250630.htm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D38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DERIVED MODEL OUTPUT — META Q3 25
Formula: forward ROIC minus Damodaran sector WACC; displayed as percentage points
Fact source: https://www.sec.gov/Archives/edgar/data/1326801/000162828025047240/meta-20250930.htm
Capex source: https://www.sec.gov/Archives/edgar/data/1326801/000162828025047240/meta-20250930.htm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E38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DERIVED MODEL OUTPUT — META Q4 25
Formula: forward ROIC minus Damodaran sector WACC; displayed as percentage points
Fact source: https://www.sec.gov/Archives/edgar/data/1326801/000162828026003942/meta-20251231.htm
Capex source: https://www.sec.gov/Archives/edgar/data/1326801/000162828026003942/meta-20251231.htm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F38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DERIVED MODEL OUTPUT — META Q1 26
Formula: forward ROIC minus Damodaran sector WACC; displayed as percentage points
Fact source: https://www.sec.gov/Archives/edgar/data/1326801/000162828026028526/meta-20260331.htm
Capex source: https://www.sec.gov/Archives/edgar/data/1326801/000162828026028526/meta-20260331.htm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G38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DERIVED MODEL OUTPUT — META Q2 26
Formula: forward ROIC minus Damodaran sector WACC; displayed as percentage points
Fact source: https://www.sec.gov/Archives/edgar/data/1326801/000162828026050705/meta-20260630.htm
Capex source: https://www.sec.gov/Archives/edgar/data/1326801/000162828026050705/meta-20260630.htm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B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MSFT latest public fact
Value: $678.000B
Public source: https://www.sec.gov/Archives/edgar/data/789019/000119312526323660/msft-20260630.htm
Evidence: Commercial remaining performance obligation was $678B; total company RPO was $684B. Weighted-average commercial-RPO duration including OpenAI was 2.3 years.
Local source: 01_sources/company_filings/microsoft/Microsoft_2026-07-29_10-K_msft-20260630.htm
Classification: public filing / official company disclosure unless stated otherwise.</t>
        </r>
      </text>
    </comment>
    <comment ref="C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GOOG latest public fact
Value: $519.500B
Public source: https://www.sec.gov/Archives/edgar/data/1652044/000165204426000071/goog-20260630.htm
Evidence: Revenue backlog/RPO was $519.5B, including $513.9B related to Google Cloud. The Q1 2026 short-term-contract definition change remains in effect, and Cloud backlog now includes TPU system-sale agreements; the vast majority remains GCP agreements.
Local source: 01_sources/company_filings/alphabet/Alphabet_2026-07-23_10-Q_goog-20260630.htm
Classification: public filing / official company disclosure unless stated otherwise.</t>
        </r>
      </text>
    </comment>
    <comment ref="D6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AMZN latest public fact
Value: $496.000B
Public source: https://www.sec.gov/Archives/edgar/data/1018724/000101872426000026/amzn-20260630.htm
Evidence: Long-term customer commitments, primarily AWS, were approximately $496B; weighted-average remaining life was 6.4 years. Anthropic's expanded commitment is already included in the total and must not be added separately.
Local source: 01_sources/company_filings/amazon/Amazon_2026-07-31_10-Q_amzn-20260630.htm
Classification: public filing / official company disclosure unless stated otherwise.</t>
        </r>
      </text>
    </comment>
    <comment ref="E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ORCL latest public fact
Value: $638.000B
Public source: https://www.sec.gov/Archives/edgar/data/1341439/000119312526277521/orcl-20260531.htm
Evidence: Remaining performance obligations were $638B at May 31, 2026, up $85B sequentially. Oracle's filed release says most Q3/Q4 RPO growth came from large AI contracts and $75B of prepaid or customer-supplied hardware reduces Oracle's own capital requirement.
Local source: 01_sources/company_filings/oracle/Oracle_2026-06-22_10-K_orcl-20260531.htm
Classification: public filing / official company disclosure unless stated otherwise.</t>
        </r>
      </text>
    </comment>
    <comment ref="F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META latest public fact
Value: $60.801B quarterly
Public source: https://www.sec.gov/Archives/edgar/data/1326801/000162828026050705/meta-20260630.htm
Evidence: Q2 2026 total company revenue was $60.801B; Meta does not disclose standalone AI revenue.
Local source: 01_sources/company_filings/meta/Meta_2026-07-30_10-Q_meta-20260630.htm
Classification: public filing / official company disclosure unless stated otherwise.</t>
        </r>
      </text>
    </comment>
    <comment ref="B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MODEL ASSUMPTION — AI share of RPO/revenue
Value: 0.5
This is not a company-reported AI-only metric.
AI share, 2.5-year duration, and scenario margins retain the supplied model assumptions for comparability. Microsoft disclosed a 2.3-year weighted-average commercial-RPO duration including OpenAI at June 30, 2026; using 2.3 years would be a methodology change.
Contextual public filing: https://www.sec.gov/Archives/edgar/data/789019/000119312526323660/msft-20260630.htm</t>
        </r>
      </text>
    </comment>
    <comment ref="C7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MODEL ASSUMPTION — AI share of RPO/revenue
Value: 0.65
This is not a company-reported AI-only metric.
AI share, 2.5-year duration, and scenario margins retain the supplied model assumptions. Alphabet says just over half of backlog should be recognized over 24 months but does not disclose a single average duration or a 65% AI share.
Contextual public filing: https://www.sec.gov/Archives/edgar/data/1652044/000165204426000071/goog-20260630.htm</t>
        </r>
      </text>
    </comment>
    <comment ref="D7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MODEL ASSUMPTION — AI share of RPO/revenue
Value: 0.55
This is not a company-reported AI-only metric.
AI share, four-year duration, and scenario margins retain the supplied model assumptions for comparability. Amazon disclosed a 6.4-year weighted-average remaining contract life at June 30, 2026; the four-year model input materially accelerates the annualized revenue proxy.
Contextual public filing: https://www.sec.gov/Archives/edgar/data/1018724/000101872426000026/amzn-20260630.htm</t>
        </r>
      </text>
    </comment>
    <comment ref="E7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MODEL ASSUMPTION — AI share of RPO/revenue
Value: 0.85
This is not a company-reported AI-only metric.
AI shares, five-year duration, and scenario margins retain the supplied model assumptions. Oracle reports company-wide RPO and does not disclose that 85% is AI or that recognition is straight-line over five years.
Contextual public filing: https://www.sec.gov/Archives/edgar/data/1341439/000119312526277521/orcl-20260531.htm</t>
        </r>
      </text>
    </comment>
    <comment ref="F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MODEL ASSUMPTION — AI share of RPO/revenue
Value: 0.2
This is not a company-reported AI-only metric.
The 20% AI revenue attribution, 90% AI capex share, and scenario margins retain the supplied model assumptions. Meta does not report standalone AI revenue or AI-only capex.
Contextual public filing: https://www.sec.gov/Archives/edgar/data/1326801/000162828026050705/meta-20260630.htm</t>
        </r>
      </text>
    </comment>
    <comment ref="B8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DERIVED MODEL OUTPUT — MSFT latest
Formula: total RPO/backlog or annualized revenue × assumed AI share
Fact source: https://www.sec.gov/Archives/edgar/data/789019/000119312526323660/msft-20260630.htm
Capex source: https://www.microsoft.com/en-us/investor/events/fy-2026/earnings-fy-2026-q4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C8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DERIVED MODEL OUTPUT — GOOG latest
Formula: total RPO/backlog or annualized revenue × assumed AI share
Fact source: https://www.sec.gov/Archives/edgar/data/1652044/000165204426000071/goog-20260630.htm
Capex source: https://www.sec.gov/Archives/edgar/data/1652044/000165204426000071/goog-20260630.htm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D8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DERIVED MODEL OUTPUT — AMZN latest
Formula: total RPO/backlog or annualized revenue × assumed AI share
Fact source: https://www.sec.gov/Archives/edgar/data/1018724/000101872426000026/amzn-20260630.htm
Capex source: https://www.sec.gov/Archives/edgar/data/1018724/000101872426000026/amzn-20260630.htm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E8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DERIVED MODEL OUTPUT — ORCL latest
Formula: total RPO/backlog or annualized revenue × assumed AI share
Fact source: https://www.sec.gov/Archives/edgar/data/1341439/000119312526277521/orcl-20260531.htm
Capex source: https://www.sec.gov/Archives/edgar/data/1341439/000119312526277521/orcl-20260531.htm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F8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DERIVED MODEL OUTPUT — META latest
Formula: total RPO/backlog or annualized revenue × assumed AI share
Fact source: https://www.sec.gov/Archives/edgar/data/1326801/000162828026050705/meta-20260630.htm
Capex source: https://www.sec.gov/Archives/edgar/data/1326801/000162828026050705/meta-20260630.htm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B9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MSFT annual capex plan / guide
Value: $175.0B
Public source: https://www.microsoft.com/en-us/investor/events/fy-2026/earnings-fy-2026-q4
Evidence: Microsoft reduced reported CY2026 capex expectation to approximately $175B from roughly $190B because longer datacenter useful lives shift future leases from finance leases included in its capex metric to operating leases excluded from it. Management said underlying investment expectations were unchanged; the lower denominator is a classification effect.
Classification: public filing / official company disclosure unless stated otherwise.</t>
        </r>
      </text>
    </comment>
    <comment ref="C9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GOOG annual capex plan / guide
Value: $200.0B
Public source: https://abc.xyz/investor/events/event-details/2026/2026-Q2-Earnings-Call-2026-GgTAq7Is0z/default.aspx
Evidence: Alphabet's official Q2 2026 call raised its 2026 capex range to $195B-$205B from $180B-$190B. $200B is the model midpoint, not company point guidance.
Classification: public filing / official company disclosure unless stated otherwise.</t>
        </r>
      </text>
    </comment>
    <comment ref="D9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AMZN annual capex plan / guide
Value: $200.0B
Public source: https://www.sec.gov/Archives/edgar/data/1018724/000101872426000002/amzn-20251231xex991.htm
Evidence: Amazon's SEC-filed Q4 2025 release said it expected about $200B of 2026 capex. The Q2 2026 10-Q and filed release did not provide a replacement numeric full-year plan.
Classification: public filing / official company disclosure unless stated otherwise.</t>
        </r>
      </text>
    </comment>
    <comment ref="E9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ORCL annual capex plan / guide
Value: $55.7B
Public source: https://www.sec.gov/Archives/edgar/data/1341439/000119312526265848/orcl-ex99_1.htm
Evidence: Oracle reported FY2026 GAAP cash capex of $55.663B. Official Q4 slides guide to approximately $70B of FY2027 net cash outlay for capex, a non-GAAP measure that deducts capex financing and customer prepayments and is not interchangeable with gross capex. The model uses the latest completed gross-capex actual rather than the expired $50B FY2026 outlook. Official slides: https://s23.q4cdn.com/440135859/files/doc_financials/2026/q4/Q4-FY26-Oracle-Earnings-Slides.pdf. Local backup: 01_sources/company_filings/oracle/Oracle_2026-06-10_Q4-FY26_Earnings_Slides.pdf
Classification: public filing / official company disclosure unless stated otherwise.</t>
        </r>
      </text>
    </comment>
    <comment ref="F9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META annual capex plan / guide
Value: $137.5B
Public source: https://www.sec.gov/Archives/edgar/data/1326801/000162828026050596/meta-06302026xexhibit991.htm
Evidence: Meta narrowed 2026 capex guidance to $130B-$145B from $125B-$145B. $137.5B is the model midpoint, not company point guidance.
Classification: public filing / official company disclosure unless stated otherwise.</t>
        </r>
      </text>
    </comment>
    <comment ref="B10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MSFT annual capex plan / guide
Value: $175.0B
Public source: https://www.microsoft.com/en-us/investor/events/fy-2026/earnings-fy-2026-q4
Evidence: Microsoft reduced reported CY2026 capex expectation to approximately $175B from roughly $190B because longer datacenter useful lives shift future leases from finance leases included in its capex metric to operating leases excluded from it. Management said underlying investment expectations were unchanged; the lower denominator is a classification effect.
Classification: public filing / official company disclosure unless stated otherwise.</t>
        </r>
      </text>
    </comment>
    <comment ref="C10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GOOG annual capex plan / guide
Value: $200.0B
Public source: https://abc.xyz/investor/events/event-details/2026/2026-Q2-Earnings-Call-2026-GgTAq7Is0z/default.aspx
Evidence: Alphabet's official Q2 2026 call raised its 2026 capex range to $195B-$205B from $180B-$190B. $200B is the model midpoint, not company point guidance.
Classification: public filing / official company disclosure unless stated otherwise.</t>
        </r>
      </text>
    </comment>
    <comment ref="D10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AMZN annual capex plan / guide
Value: $200.0B
Public source: https://www.sec.gov/Archives/edgar/data/1018724/000101872426000002/amzn-20251231xex991.htm
Evidence: Amazon's SEC-filed Q4 2025 release said it expected about $200B of 2026 capex. The Q2 2026 10-Q and filed release did not provide a replacement numeric full-year plan.
Classification: public filing / official company disclosure unless stated otherwise.</t>
        </r>
      </text>
    </comment>
    <comment ref="E10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ORCL annual capex plan / guide
Value: $55.7B
Public source: https://www.sec.gov/Archives/edgar/data/1341439/000119312526265848/orcl-ex99_1.htm
Evidence: Oracle reported FY2026 GAAP cash capex of $55.663B. Official Q4 slides guide to approximately $70B of FY2027 net cash outlay for capex, a non-GAAP measure that deducts capex financing and customer prepayments and is not interchangeable with gross capex. The model uses the latest completed gross-capex actual rather than the expired $50B FY2026 outlook. Official slides: https://s23.q4cdn.com/440135859/files/doc_financials/2026/q4/Q4-FY26-Oracle-Earnings-Slides.pdf. Local backup: 01_sources/company_filings/oracle/Oracle_2026-06-10_Q4-FY26_Earnings_Slides.pdf
Classification: public filing / official company disclosure unless stated otherwise.</t>
        </r>
      </text>
    </comment>
    <comment ref="F10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META annual capex plan / guide
Value: $137.5B
Public source: https://www.sec.gov/Archives/edgar/data/1326801/000162828026050596/meta-06302026xexhibit991.htm
Evidence: Meta narrowed 2026 capex guidance to $130B-$145B from $125B-$145B. $137.5B is the model midpoint, not company point guidance.
Classification: public filing / official company disclosure unless stated otherwise.</t>
        </r>
      </text>
    </comment>
    <comment ref="B11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MODEL ASSUMPTION — AI share of capex
Value: 0.85
This is not a company-reported AI-only metric.
AI share, 2.5-year duration, and scenario margins retain the supplied model assumptions for comparability. Microsoft disclosed a 2.3-year weighted-average commercial-RPO duration including OpenAI at June 30, 2026; using 2.3 years would be a methodology change.
Contextual public filing: https://www.sec.gov/Archives/edgar/data/789019/000119312526323660/msft-20260630.htm</t>
        </r>
      </text>
    </comment>
    <comment ref="C11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MODEL ASSUMPTION — AI share of capex
Value: 0.8
This is not a company-reported AI-only metric.
AI share, 2.5-year duration, and scenario margins retain the supplied model assumptions. Alphabet says just over half of backlog should be recognized over 24 months but does not disclose a single average duration or a 65% AI share.
Contextual public filing: https://www.sec.gov/Archives/edgar/data/1652044/000165204426000071/goog-20260630.htm</t>
        </r>
      </text>
    </comment>
    <comment ref="D11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MODEL ASSUMPTION — AI share of capex
Value: 0.75
This is not a company-reported AI-only metric.
AI share, four-year duration, and scenario margins retain the supplied model assumptions for comparability. Amazon disclosed a 6.4-year weighted-average remaining contract life at June 30, 2026; the four-year model input materially accelerates the annualized revenue proxy.
Contextual public filing: https://www.sec.gov/Archives/edgar/data/1018724/000101872426000026/amzn-20260630.htm</t>
        </r>
      </text>
    </comment>
    <comment ref="E11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MODEL ASSUMPTION — AI share of capex
Value: 0.9
This is not a company-reported AI-only metric.
AI shares, five-year duration, and scenario margins retain the supplied model assumptions. Oracle reports company-wide RPO and does not disclose that 85% is AI or that recognition is straight-line over five years.
Contextual public filing: https://www.sec.gov/Archives/edgar/data/1341439/000119312526277521/orcl-20260531.htm</t>
        </r>
      </text>
    </comment>
    <comment ref="F11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MODEL ASSUMPTION — AI share of capex
Value: 0.9
This is not a company-reported AI-only metric.
The 20% AI revenue attribution, 90% AI capex share, and scenario margins retain the supplied model assumptions. Meta does not report standalone AI revenue or AI-only capex.
Contextual public filing: https://www.sec.gov/Archives/edgar/data/1326801/000162828026050705/meta-20260630.htm</t>
        </r>
      </text>
    </comment>
    <comment ref="B1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DERIVED MODEL OUTPUT — MSFT latest
Formula: annual capex plan/guide × assumed AI share of capex
Fact source: https://www.sec.gov/Archives/edgar/data/789019/000119312526323660/msft-20260630.htm
Capex source: https://www.microsoft.com/en-us/investor/events/fy-2026/earnings-fy-2026-q4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C12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DERIVED MODEL OUTPUT — GOOG latest
Formula: annual capex plan/guide × assumed AI share of capex
Fact source: https://www.sec.gov/Archives/edgar/data/1652044/000165204426000071/goog-20260630.htm
Capex source: https://abc.xyz/investor/events/event-details/2026/2026-Q2-Earnings-Call-2026-GgTAq7Is0z/default.aspx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D12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DERIVED MODEL OUTPUT — AMZN latest
Formula: annual capex plan/guide × assumed AI share of capex
Fact source: https://www.sec.gov/Archives/edgar/data/1018724/000101872426000026/amzn-20260630.htm
Capex source: https://www.sec.gov/Archives/edgar/data/1018724/000101872426000002/amzn-20251231xex991.htm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E1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DERIVED MODEL OUTPUT — ORCL latest
Formula: annual capex plan/guide × assumed AI share of capex
Fact source: https://www.sec.gov/Archives/edgar/data/1341439/000119312526277521/orcl-20260531.htm
Capex source: https://www.sec.gov/Archives/edgar/data/1341439/000119312526265848/orcl-ex99_1.htm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F1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DERIVED MODEL OUTPUT — META latest
Formula: annual capex plan/guide × assumed AI share of capex
Fact source: https://www.sec.gov/Archives/edgar/data/1326801/000162828026050705/meta-20260630.htm
Capex source: https://www.sec.gov/Archives/edgar/data/1326801/000162828026050596/meta-06302026xexhibit991.htm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B13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MODEL ASSUMPTION — RPO duration
Value: 2.5
This is not a company-reported AI-only metric.
AI share, 2.5-year duration, and scenario margins retain the supplied model assumptions for comparability. Microsoft disclosed a 2.3-year weighted-average commercial-RPO duration including OpenAI at June 30, 2026; using 2.3 years would be a methodology change.
Contextual public filing: https://www.sec.gov/Archives/edgar/data/789019/000119312526323660/msft-20260630.htm</t>
        </r>
      </text>
    </comment>
    <comment ref="C13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MODEL ASSUMPTION — RPO duration
Value: 2.5
This is not a company-reported AI-only metric.
AI share, 2.5-year duration, and scenario margins retain the supplied model assumptions. Alphabet says just over half of backlog should be recognized over 24 months but does not disclose a single average duration or a 65% AI share.
Contextual public filing: https://www.sec.gov/Archives/edgar/data/1652044/000165204426000071/goog-20260630.htm</t>
        </r>
      </text>
    </comment>
    <comment ref="D13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MODEL ASSUMPTION — RPO duration
Value: 4.0
This is not a company-reported AI-only metric.
AI share, four-year duration, and scenario margins retain the supplied model assumptions for comparability. Amazon disclosed a 6.4-year weighted-average remaining contract life at June 30, 2026; the four-year model input materially accelerates the annualized revenue proxy.
Contextual public filing: https://www.sec.gov/Archives/edgar/data/1018724/000101872426000026/amzn-20260630.htm</t>
        </r>
      </text>
    </comment>
    <comment ref="E13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MODEL ASSUMPTION — RPO duration
Value: 5.0
This is not a company-reported AI-only metric.
AI shares, five-year duration, and scenario margins retain the supplied model assumptions. Oracle reports company-wide RPO and does not disclose that 85% is AI or that recognition is straight-line over five years.
Contextual public filing: https://www.sec.gov/Archives/edgar/data/1341439/000119312526277521/orcl-20260531.htm</t>
        </r>
      </text>
    </comment>
    <comment ref="F13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MODEL ASSUMPTION — RPO duration
Value: None
This is not a company-reported AI-only metric.
The 20% AI revenue attribution, 90% AI capex share, and scenario margins retain the supplied model assumptions. Meta does not report standalone AI revenue or AI-only capex.
Contextual public filing: https://www.sec.gov/Archives/edgar/data/1326801/000162828026050705/meta-20260630.htm</t>
        </r>
      </text>
    </comment>
    <comment ref="B14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DERIVED MODEL OUTPUT — MSFT latest
Formula: AI-linked RPO/backlog ÷ assumed duration
Fact source: https://www.sec.gov/Archives/edgar/data/789019/000119312526323660/msft-20260630.htm
Capex source: https://www.microsoft.com/en-us/investor/events/fy-2026/earnings-fy-2026-q4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C14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DERIVED MODEL OUTPUT — GOOG latest
Formula: AI-linked RPO/backlog ÷ assumed duration
Fact source: https://www.sec.gov/Archives/edgar/data/1652044/000165204426000071/goog-20260630.htm
Capex source: https://www.sec.gov/Archives/edgar/data/1652044/000165204426000071/goog-20260630.htm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D14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DERIVED MODEL OUTPUT — AMZN latest
Formula: AI-linked RPO/backlog ÷ assumed duration
Fact source: https://www.sec.gov/Archives/edgar/data/1018724/000101872426000026/amzn-20260630.htm
Capex source: https://www.sec.gov/Archives/edgar/data/1018724/000101872426000026/amzn-20260630.htm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E14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DERIVED MODEL OUTPUT — ORCL latest
Formula: AI-linked RPO/backlog ÷ assumed duration
Fact source: https://www.sec.gov/Archives/edgar/data/1341439/000119312526277521/orcl-20260531.htm
Capex source: https://www.sec.gov/Archives/edgar/data/1341439/000119312526277521/orcl-20260531.htm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F14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DERIVED MODEL OUTPUT — META latest
Formula: annualized revenue × AI attribution
Fact source: https://www.sec.gov/Archives/edgar/data/1326801/000162828026050705/meta-20260630.htm
Capex source: https://www.sec.gov/Archives/edgar/data/1326801/000162828026050705/meta-20260630.htm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B15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MODEL ASSUMPTION — base NOPAT margin
Value: 0.3
This is not a company-reported AI-only metric.
AI share, 2.5-year duration, and scenario margins retain the supplied model assumptions for comparability. Microsoft disclosed a 2.3-year weighted-average commercial-RPO duration including OpenAI at June 30, 2026; using 2.3 years would be a methodology change.
Contextual public filing: https://www.sec.gov/Archives/edgar/data/789019/000119312526323660/msft-20260630.htm</t>
        </r>
      </text>
    </comment>
    <comment ref="C15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MODEL ASSUMPTION — base NOPAT margin
Value: 0.3
This is not a company-reported AI-only metric.
AI share, 2.5-year duration, and scenario margins retain the supplied model assumptions. Alphabet says just over half of backlog should be recognized over 24 months but does not disclose a single average duration or a 65% AI share.
Contextual public filing: https://www.sec.gov/Archives/edgar/data/1652044/000165204426000071/goog-20260630.htm</t>
        </r>
      </text>
    </comment>
    <comment ref="D15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MODEL ASSUMPTION — base NOPAT margin
Value: 0.28
This is not a company-reported AI-only metric.
AI share, four-year duration, and scenario margins retain the supplied model assumptions for comparability. Amazon disclosed a 6.4-year weighted-average remaining contract life at June 30, 2026; the four-year model input materially accelerates the annualized revenue proxy.
Contextual public filing: https://www.sec.gov/Archives/edgar/data/1018724/000101872426000026/amzn-20260630.htm</t>
        </r>
      </text>
    </comment>
    <comment ref="E15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MODEL ASSUMPTION — base NOPAT margin
Value: 0.18
This is not a company-reported AI-only metric.
AI shares, five-year duration, and scenario margins retain the supplied model assumptions. Oracle reports company-wide RPO and does not disclose that 85% is AI or that recognition is straight-line over five years.
Contextual public filing: https://www.sec.gov/Archives/edgar/data/1341439/000119312526277521/orcl-20260531.htm</t>
        </r>
      </text>
    </comment>
    <comment ref="F15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MODEL ASSUMPTION — base NOPAT margin
Value: 0.32
This is not a company-reported AI-only metric.
The 20% AI revenue attribution, 90% AI capex share, and scenario margins retain the supplied model assumptions. Meta does not report standalone AI revenue or AI-only capex.
Contextual public filing: https://www.sec.gov/Archives/edgar/data/1326801/000162828026050705/meta-20260630.htm</t>
        </r>
      </text>
    </comment>
    <comment ref="B17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DERIVED MODEL OUTPUT — MSFT latest snapshot
Formula: annualized AI revenue proxy × base NOPAT margin ÷ AI capex based on annual plan
Fact source: https://www.sec.gov/Archives/edgar/data/789019/000119312526323660/msft-20260630.htm
Capex source: https://www.microsoft.com/en-us/investor/events/fy-2026/earnings-fy-2026-q4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C17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DERIVED MODEL OUTPUT — GOOG latest snapshot
Formula: annualized AI revenue proxy × base NOPAT margin ÷ AI capex based on annual plan
Fact source: https://www.sec.gov/Archives/edgar/data/1652044/000165204426000071/goog-20260630.htm
Capex source: https://abc.xyz/investor/events/event-details/2026/2026-Q2-Earnings-Call-2026-GgTAq7Is0z/default.aspx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D17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DERIVED MODEL OUTPUT — AMZN latest snapshot
Formula: annualized AI revenue proxy × base NOPAT margin ÷ AI capex based on annual plan
Fact source: https://www.sec.gov/Archives/edgar/data/1018724/000101872426000026/amzn-20260630.htm
Capex source: https://www.sec.gov/Archives/edgar/data/1018724/000101872426000002/amzn-20251231xex991.htm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E17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DERIVED MODEL OUTPUT — ORCL latest snapshot
Formula: annualized AI revenue proxy × base NOPAT margin ÷ AI capex based on annual plan
Fact source: https://www.sec.gov/Archives/edgar/data/1341439/000119312526277521/orcl-20260531.htm
Capex source: https://www.sec.gov/Archives/edgar/data/1341439/000119312526265848/orcl-ex99_1.htm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F17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DERIVED MODEL OUTPUT — META latest snapshot
Formula: annualized AI revenue proxy × base NOPAT margin ÷ AI capex based on annual plan
Fact source: https://www.sec.gov/Archives/edgar/data/1326801/000162828026050705/meta-20260630.htm
Capex source: https://www.sec.gov/Archives/edgar/data/1326801/000162828026050596/meta-06302026xexhibit991.htm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B18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MSFT WACC sector input
Value: 9.34%
Public source: https://pages.stern.nyu.edu/~adamodar/New_Home_Page/datafile/wacc.html
Evidence: Damodaran January 2026 industry WACC for Software (System &amp; Application), January 2026 U.S. industry average; analyst-selected sector, not company WACC.
Classification: public filing / official company disclosure unless stated otherwise.</t>
        </r>
      </text>
    </comment>
    <comment ref="C18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GOOG WACC sector input
Value: 10.66%
Public source: https://pages.stern.nyu.edu/~adamodar/New_Home_Page/datafile/wacc.html
Evidence: Damodaran January 2026 industry WACC for Software (Internet), January 2026 U.S. industry average; analyst-selected sector, not company WACC.
Classification: public filing / official company disclosure unless stated otherwise.</t>
        </r>
      </text>
    </comment>
    <comment ref="D18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AMZN WACC sector input
Value: 7.27%
Public source: https://pages.stern.nyu.edu/~adamodar/New_Home_Page/datafile/wacc.html
Evidence: Damodaran January 2026 industry WACC for Retail (General), January 2026 U.S. industry average; analyst-selected sector, not company WACC.
Classification: public filing / official company disclosure unless stated otherwise.</t>
        </r>
      </text>
    </comment>
    <comment ref="E18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ORCL WACC sector input
Value: 7.83%
Public source: https://pages.stern.nyu.edu/~adamodar/New_Home_Page/datafile/wacc.html
Evidence: Damodaran January 2026 industry WACC for Computer Services, January 2026 U.S. industry average; analyst-selected sector, not company WACC.
Classification: public filing / official company disclosure unless stated otherwise.</t>
        </r>
      </text>
    </comment>
    <comment ref="F18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META WACC sector input
Value: 10.66%
Public source: https://pages.stern.nyu.edu/~adamodar/New_Home_Page/datafile/wacc.html
Evidence: Damodaran January 2026 industry WACC for Software (Internet), January 2026 U.S. industry average; analyst-selected sector, not company WACC.
Classification: public filing / official company disclosure unless stated otherwise.</t>
        </r>
      </text>
    </comment>
    <comment ref="B19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DERIVED MODEL OUTPUT — MSFT latest snapshot
Formula: Spread (Base, ppt)
Fact source: https://www.sec.gov/Archives/edgar/data/789019/000119312526323660/msft-20260630.htm
Capex source: https://www.microsoft.com/en-us/investor/events/fy-2026/earnings-fy-2026-q4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C19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DERIVED MODEL OUTPUT — GOOG latest snapshot
Formula: Spread (Base, ppt)
Fact source: https://www.sec.gov/Archives/edgar/data/1652044/000165204426000071/goog-20260630.htm
Capex source: https://abc.xyz/investor/events/event-details/2026/2026-Q2-Earnings-Call-2026-GgTAq7Is0z/default.aspx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D19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DERIVED MODEL OUTPUT — AMZN latest snapshot
Formula: Spread (Base, ppt)
Fact source: https://www.sec.gov/Archives/edgar/data/1018724/000101872426000026/amzn-20260630.htm
Capex source: https://www.sec.gov/Archives/edgar/data/1018724/000101872426000002/amzn-20251231xex991.htm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E19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DERIVED MODEL OUTPUT — ORCL latest snapshot
Formula: Spread (Base, ppt)
Fact source: https://www.sec.gov/Archives/edgar/data/1341439/000119312526277521/orcl-20260531.htm
Capex source: https://www.sec.gov/Archives/edgar/data/1341439/000119312526265848/orcl-ex99_1.htm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F19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DERIVED MODEL OUTPUT — META latest snapshot
Formula: Spread (Base, ppt)
Fact source: https://www.sec.gov/Archives/edgar/data/1326801/000162828026050705/meta-20260630.htm
Capex source: https://www.sec.gov/Archives/edgar/data/1326801/000162828026050596/meta-06302026xexhibit991.htm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B20" authorId="0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DERIVED MODEL OUTPUT — MSFT latest snapshot
Formula: Forward ROIC (Bear)
Fact source: https://www.sec.gov/Archives/edgar/data/789019/000119312526323660/msft-20260630.htm
Capex source: https://www.microsoft.com/en-us/investor/events/fy-2026/earnings-fy-2026-q4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C20" authorId="0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DERIVED MODEL OUTPUT — GOOG latest snapshot
Formula: Forward ROIC (Bear)
Fact source: https://www.sec.gov/Archives/edgar/data/1652044/000165204426000071/goog-20260630.htm
Capex source: https://abc.xyz/investor/events/event-details/2026/2026-Q2-Earnings-Call-2026-GgTAq7Is0z/default.aspx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D20" authorId="0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DERIVED MODEL OUTPUT — AMZN latest snapshot
Formula: Forward ROIC (Bear)
Fact source: https://www.sec.gov/Archives/edgar/data/1018724/000101872426000026/amzn-20260630.htm
Capex source: https://www.sec.gov/Archives/edgar/data/1018724/000101872426000002/amzn-20251231xex991.htm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E20" authorId="0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DERIVED MODEL OUTPUT — ORCL latest snapshot
Formula: Forward ROIC (Bear)
Fact source: https://www.sec.gov/Archives/edgar/data/1341439/000119312526277521/orcl-20260531.htm
Capex source: https://www.sec.gov/Archives/edgar/data/1341439/000119312526265848/orcl-ex99_1.htm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F20" authorId="0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DERIVED MODEL OUTPUT — META latest snapshot
Formula: Forward ROIC (Bear)
Fact source: https://www.sec.gov/Archives/edgar/data/1326801/000162828026050705/meta-20260630.htm
Capex source: https://www.sec.gov/Archives/edgar/data/1326801/000162828026050596/meta-06302026xexhibit991.htm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B21" authorId="0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DERIVED MODEL OUTPUT — MSFT latest snapshot
Formula: Spread (Bear, ppt)
Fact source: https://www.sec.gov/Archives/edgar/data/789019/000119312526323660/msft-20260630.htm
Capex source: https://www.microsoft.com/en-us/investor/events/fy-2026/earnings-fy-2026-q4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C21" authorId="0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DERIVED MODEL OUTPUT — GOOG latest snapshot
Formula: Spread (Bear, ppt)
Fact source: https://www.sec.gov/Archives/edgar/data/1652044/000165204426000071/goog-20260630.htm
Capex source: https://abc.xyz/investor/events/event-details/2026/2026-Q2-Earnings-Call-2026-GgTAq7Is0z/default.aspx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D21" authorId="0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DERIVED MODEL OUTPUT — AMZN latest snapshot
Formula: Spread (Bear, ppt)
Fact source: https://www.sec.gov/Archives/edgar/data/1018724/000101872426000026/amzn-20260630.htm
Capex source: https://www.sec.gov/Archives/edgar/data/1018724/000101872426000002/amzn-20251231xex991.htm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E21" authorId="0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DERIVED MODEL OUTPUT — ORCL latest snapshot
Formula: Spread (Bear, ppt)
Fact source: https://www.sec.gov/Archives/edgar/data/1341439/000119312526277521/orcl-20260531.htm
Capex source: https://www.sec.gov/Archives/edgar/data/1341439/000119312526265848/orcl-ex99_1.htm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F21" authorId="0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DERIVED MODEL OUTPUT — META latest snapshot
Formula: Spread (Bear, ppt)
Fact source: https://www.sec.gov/Archives/edgar/data/1326801/000162828026050705/meta-20260630.htm
Capex source: https://www.sec.gov/Archives/edgar/data/1326801/000162828026050596/meta-06302026xexhibit991.htm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B22" authorId="0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DERIVED MODEL OUTPUT — MSFT latest snapshot
Formula: Forward ROIC (Bull)
Fact source: https://www.sec.gov/Archives/edgar/data/789019/000119312526323660/msft-20260630.htm
Capex source: https://www.microsoft.com/en-us/investor/events/fy-2026/earnings-fy-2026-q4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C22" authorId="0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DERIVED MODEL OUTPUT — GOOG latest snapshot
Formula: Forward ROIC (Bull)
Fact source: https://www.sec.gov/Archives/edgar/data/1652044/000165204426000071/goog-20260630.htm
Capex source: https://abc.xyz/investor/events/event-details/2026/2026-Q2-Earnings-Call-2026-GgTAq7Is0z/default.aspx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D22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DERIVED MODEL OUTPUT — AMZN latest snapshot
Formula: Forward ROIC (Bull)
Fact source: https://www.sec.gov/Archives/edgar/data/1018724/000101872426000026/amzn-20260630.htm
Capex source: https://www.sec.gov/Archives/edgar/data/1018724/000101872426000002/amzn-20251231xex991.htm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E22" authorId="0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DERIVED MODEL OUTPUT — ORCL latest snapshot
Formula: Forward ROIC (Bull)
Fact source: https://www.sec.gov/Archives/edgar/data/1341439/000119312526277521/orcl-20260531.htm
Capex source: https://www.sec.gov/Archives/edgar/data/1341439/000119312526265848/orcl-ex99_1.htm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F22" authorId="0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DERIVED MODEL OUTPUT — META latest snapshot
Formula: Forward ROIC (Bull)
Fact source: https://www.sec.gov/Archives/edgar/data/1326801/000162828026050705/meta-20260630.htm
Capex source: https://www.sec.gov/Archives/edgar/data/1326801/000162828026050596/meta-06302026xexhibit991.htm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B23" authorId="0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DERIVED MODEL OUTPUT — MSFT latest snapshot
Formula: Spread (Bull, ppt)
Fact source: https://www.sec.gov/Archives/edgar/data/789019/000119312526323660/msft-20260630.htm
Capex source: https://www.microsoft.com/en-us/investor/events/fy-2026/earnings-fy-2026-q4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C23" authorId="0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DERIVED MODEL OUTPUT — GOOG latest snapshot
Formula: Spread (Bull, ppt)
Fact source: https://www.sec.gov/Archives/edgar/data/1652044/000165204426000071/goog-20260630.htm
Capex source: https://abc.xyz/investor/events/event-details/2026/2026-Q2-Earnings-Call-2026-GgTAq7Is0z/default.aspx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D23" authorId="0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>DERIVED MODEL OUTPUT — AMZN latest snapshot
Formula: Spread (Bull, ppt)
Fact source: https://www.sec.gov/Archives/edgar/data/1018724/000101872426000026/amzn-20260630.htm
Capex source: https://www.sec.gov/Archives/edgar/data/1018724/000101872426000002/amzn-20251231xex991.htm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E23" authorId="0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>DERIVED MODEL OUTPUT — ORCL latest snapshot
Formula: Spread (Bull, ppt)
Fact source: https://www.sec.gov/Archives/edgar/data/1341439/000119312526277521/orcl-20260531.htm
Capex source: https://www.sec.gov/Archives/edgar/data/1341439/000119312526265848/orcl-ex99_1.htm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F23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DERIVED MODEL OUTPUT — META latest snapshot
Formula: Spread (Bull, ppt)
Fact source: https://www.sec.gov/Archives/edgar/data/1326801/000162828026050705/meta-20260630.htm
Capex source: https://www.sec.gov/Archives/edgar/data/1326801/000162828026050596/meta-06302026xexhibit991.htm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B25" authorId="0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DERIVED MODEL OUTPUT — MSFT latest snapshot
Formula: Spread Q2 26 (run-rate basis, ppt)
Fact source: https://www.sec.gov/Archives/edgar/data/789019/000119312526323660/msft-20260630.htm
Capex source: https://www.microsoft.com/en-us/investor/events/fy-2026/earnings-fy-2026-q4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C25" authorId="0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DERIVED MODEL OUTPUT — GOOG latest snapshot
Formula: Spread Q2 26 (run-rate basis, ppt)
Fact source: https://www.sec.gov/Archives/edgar/data/1652044/000165204426000071/goog-20260630.htm
Capex source: https://abc.xyz/investor/events/event-details/2026/2026-Q2-Earnings-Call-2026-GgTAq7Is0z/default.aspx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D25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DERIVED MODEL OUTPUT — AMZN latest snapshot
Formula: Spread Q2 26 (run-rate basis, ppt)
Fact source: https://www.sec.gov/Archives/edgar/data/1018724/000101872426000026/amzn-20260630.htm
Capex source: https://www.sec.gov/Archives/edgar/data/1018724/000101872426000002/amzn-20251231xex991.htm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E25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DERIVED MODEL OUTPUT — ORCL latest snapshot
Formula: Spread Q2 26 (run-rate basis, ppt)
Fact source: https://www.sec.gov/Archives/edgar/data/1341439/000119312526277521/orcl-20260531.htm
Capex source: https://www.sec.gov/Archives/edgar/data/1341439/000119312526265848/orcl-ex99_1.htm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F25" authorId="0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DERIVED MODEL OUTPUT — META latest snapshot
Formula: Spread Q2 26 (run-rate basis, ppt)
Fact source: https://www.sec.gov/Archives/edgar/data/1326801/000162828026050705/meta-20260630.htm
Capex source: https://www.sec.gov/Archives/edgar/data/1326801/000162828026050596/meta-06302026xexhibit991.htm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B26" authorId="0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DERIVED MODEL OUTPUT — MSFT latest snapshot
Formula: Spread Q2 25 (run-rate basis, ppt)
Fact source: https://www.sec.gov/Archives/edgar/data/789019/000119312526323660/msft-20260630.htm
Capex source: https://www.microsoft.com/en-us/investor/events/fy-2026/earnings-fy-2026-q4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C26" authorId="0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DERIVED MODEL OUTPUT — GOOG latest snapshot
Formula: Spread Q2 25 (run-rate basis, ppt)
Fact source: https://www.sec.gov/Archives/edgar/data/1652044/000165204426000071/goog-20260630.htm
Capex source: https://abc.xyz/investor/events/event-details/2026/2026-Q2-Earnings-Call-2026-GgTAq7Is0z/default.aspx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D26" authorId="0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DERIVED MODEL OUTPUT — AMZN latest snapshot
Formula: Spread Q2 25 (run-rate basis, ppt)
Fact source: https://www.sec.gov/Archives/edgar/data/1018724/000101872426000026/amzn-20260630.htm
Capex source: https://www.sec.gov/Archives/edgar/data/1018724/000101872426000002/amzn-20251231xex991.htm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E26" authorId="0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DERIVED MODEL OUTPUT — ORCL latest snapshot
Formula: Spread Q2 25 (run-rate basis, ppt)
Fact source: https://www.sec.gov/Archives/edgar/data/1341439/000119312526277521/orcl-20260531.htm
Capex source: https://www.sec.gov/Archives/edgar/data/1341439/000119312526265848/orcl-ex99_1.htm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F26" authorId="0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DERIVED MODEL OUTPUT — META latest snapshot
Formula: Spread Q2 25 (run-rate basis, ppt)
Fact source: https://www.sec.gov/Archives/edgar/data/1326801/000162828026050705/meta-20260630.htm
Capex source: https://www.sec.gov/Archives/edgar/data/1326801/000162828026050596/meta-06302026xexhibit991.htm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  <comment ref="B27" authorId="0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DERIVED MODEL OUTPUT — MSFT latest snapshot
Formula: Δ Spread Q2 26 vs Q2 25 (bps)
Fact source: https://www.sec.gov/Archives/edgar/data/789019/000119312526323660/msft-20260630.htm
Capex source: https://www.microsoft.com/en-us/investor/events/fy-2026/earnings-fy-2026-q4
WACC source: https://pages.stern.nyu.edu/~adamodar/New_Home_Page/datafile/wacc.html
AI attribution, AI capex share, duration, and scenario margins are model assumptions, not disclosures.
AI share, 2.5-year duration, and scenario margins retain the supplied model assumptions for comparability. Microsoft disclosed a 2.3-year weighted-average commercial-RPO duration including OpenAI at June 30, 2026; using 2.3 years would be a methodology change.</t>
        </r>
      </text>
    </comment>
    <comment ref="C27" authorId="0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DERIVED MODEL OUTPUT — GOOG latest snapshot
Formula: Δ Spread Q2 26 vs Q2 25 (bps)
Fact source: https://www.sec.gov/Archives/edgar/data/1652044/000165204426000071/goog-20260630.htm
Capex source: https://abc.xyz/investor/events/event-details/2026/2026-Q2-Earnings-Call-2026-GgTAq7Is0z/default.aspx
WACC source: https://pages.stern.nyu.edu/~adamodar/New_Home_Page/datafile/wacc.html
AI attribution, AI capex share, duration, and scenario margins are model assumptions, not disclosures.
AI share, 2.5-year duration, and scenario margins retain the supplied model assumptions. Alphabet says just over half of backlog should be recognized over 24 months but does not disclose a single average duration or a 65% AI share.</t>
        </r>
      </text>
    </comment>
    <comment ref="D27" authorId="0" shapeId="0" xr:uid="{00000000-0006-0000-0100-000062000000}">
      <text>
        <r>
          <rPr>
            <sz val="11"/>
            <color theme="1"/>
            <rFont val="Calibri"/>
            <family val="2"/>
            <scheme val="minor"/>
          </rPr>
          <t>DERIVED MODEL OUTPUT — AMZN latest snapshot
Formula: Δ Spread Q2 26 vs Q2 25 (bps)
Fact source: https://www.sec.gov/Archives/edgar/data/1018724/000101872426000026/amzn-20260630.htm
Capex source: https://www.sec.gov/Archives/edgar/data/1018724/000101872426000002/amzn-20251231xex991.htm
WACC source: https://pages.stern.nyu.edu/~adamodar/New_Home_Page/datafile/wacc.html
AI attribution, AI capex share, duration, and scenario margins are model assumptions, not disclosures.
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      </r>
      </text>
    </comment>
    <comment ref="E27" authorId="0" shapeId="0" xr:uid="{00000000-0006-0000-0100-000063000000}">
      <text>
        <r>
          <rPr>
            <sz val="11"/>
            <color theme="1"/>
            <rFont val="Calibri"/>
            <family val="2"/>
            <scheme val="minor"/>
          </rPr>
          <t>DERIVED MODEL OUTPUT — ORCL latest snapshot
Formula: Δ Spread Q2 26 vs Q2 25 (bps)
Fact source: https://www.sec.gov/Archives/edgar/data/1341439/000119312526277521/orcl-20260531.htm
Capex source: https://www.sec.gov/Archives/edgar/data/1341439/000119312526265848/orcl-ex99_1.htm
WACC source: https://pages.stern.nyu.edu/~adamodar/New_Home_Page/datafile/wacc.html
AI attribution, AI capex share, duration, and scenario margins are model assumptions, not disclosures.
AI shares, five-year duration, and scenario margins retain the supplied model assumptions. Oracle reports company-wide RPO and does not disclose that 85% is AI or that recognition is straight-line over five years.</t>
        </r>
      </text>
    </comment>
    <comment ref="F27" authorId="0" shapeId="0" xr:uid="{00000000-0006-0000-0100-000064000000}">
      <text>
        <r>
          <rPr>
            <sz val="11"/>
            <color theme="1"/>
            <rFont val="Calibri"/>
            <family val="2"/>
            <scheme val="minor"/>
          </rPr>
          <t>DERIVED MODEL OUTPUT — META latest snapshot
Formula: Δ Spread Q2 26 vs Q2 25 (bps)
Fact source: https://www.sec.gov/Archives/edgar/data/1326801/000162828026050705/meta-20260630.htm
Capex source: https://www.sec.gov/Archives/edgar/data/1326801/000162828026050596/meta-06302026xexhibit991.htm
WACC source: https://pages.stern.nyu.edu/~adamodar/New_Home_Page/datafile/wacc.html
AI attribution, AI capex share, duration, and scenario margins are model assumptions, not disclosures.
The 20% AI revenue attribution, 90% AI capex share, and scenario margins retain the supplied model assumptions. Meta does not report standalone AI revenue or AI-only capex.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F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MSFT Q2 25 — Commercial remaining performance obligation
Value: $368.000B
Public source: https://www.sec.gov/Archives/edgar/data/789019/000095017025100235/msft-20250630.htm
Evidence: Commercial RPO increased to $368B at June 30, 2025.
Classification: public filing / official company disclosure unless stated otherwise.</t>
        </r>
      </text>
    </comment>
    <comment ref="H5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MSFT Q2 25 — quarterly capex
Value: $24.200B
Public source: https://www.microsoft.com/en-us/Investor/earnings/FY-2025-Q4/press-release-webcast
Evidence: Official FY25 Q4 transcript: capital expenditures were $24.2B, including finance leases.
Classification: public filing / official company disclosure unless stated otherwise.</t>
        </r>
      </text>
    </comment>
    <comment ref="J5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MSFT Q2 25 — Commercial remaining performance obligation
Value: $368.000B
Public source: https://www.sec.gov/Archives/edgar/data/789019/000095017025100235/msft-20250630.htm
Evidence: Commercial RPO increased to $368B at June 30, 2025.
Classification: public filing / official company disclosure unless stated otherwise.</t>
        </r>
      </text>
    </comment>
    <comment ref="K5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MSFT Q2 25 — quarterly capex
Value: $24.200B
Public source: https://www.microsoft.com/en-us/Investor/earnings/FY-2025-Q4/press-release-webcast
Evidence: Official FY25 Q4 transcript: capital expenditures were $24.2B, including finance leases.
Classification: public filing / official company disclosure unless stated otherwise.</t>
        </r>
      </text>
    </comment>
    <comment ref="R5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MODEL ASSUMPTION — AI share of RPO/revenue
Value: 0.5
This is not a company-reported AI-only metric.
AI share, 2.5-year duration, and scenario margins retain the supplied model assumptions for comparability. Microsoft disclosed a 2.3-year weighted-average commercial-RPO duration including OpenAI at June 30, 2026; using 2.3 years would be a methodology change.
Contextual public filing: https://www.sec.gov/Archives/edgar/data/789019/000119312526323660/msft-20260630.htm</t>
        </r>
      </text>
    </comment>
    <comment ref="S5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MODEL ASSUMPTION — RPO duration
Value: 2.5
This is not a company-reported AI-only metric.
AI share, 2.5-year duration, and scenario margins retain the supplied model assumptions for comparability. Microsoft disclosed a 2.3-year weighted-average commercial-RPO duration including OpenAI at June 30, 2026; using 2.3 years would be a methodology change.
Contextual public filing: https://www.sec.gov/Archives/edgar/data/789019/000119312526323660/msft-20260630.htm</t>
        </r>
      </text>
    </comment>
    <comment ref="T5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MODEL ASSUMPTION — AI share of capex
Value: 0.85
This is not a company-reported AI-only metric.
AI share, 2.5-year duration, and scenario margins retain the supplied model assumptions for comparability. Microsoft disclosed a 2.3-year weighted-average commercial-RPO duration including OpenAI at June 30, 2026; using 2.3 years would be a methodology change.
Contextual public filing: https://www.sec.gov/Archives/edgar/data/789019/000119312526323660/msft-20260630.htm</t>
        </r>
      </text>
    </comment>
    <comment ref="U5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MODEL ASSUMPTION — bear NOPAT margin
Value: 0.2
This is not a company-reported AI-only metric.
AI share, 2.5-year duration, and scenario margins retain the supplied model assumptions for comparability. Microsoft disclosed a 2.3-year weighted-average commercial-RPO duration including OpenAI at June 30, 2026; using 2.3 years would be a methodology change.
Contextual public filing: https://www.sec.gov/Archives/edgar/data/789019/000119312526323660/msft-20260630.htm</t>
        </r>
      </text>
    </comment>
    <comment ref="V5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MODEL ASSUMPTION — base NOPAT margin
Value: 0.3
This is not a company-reported AI-only metric.
AI share, 2.5-year duration, and scenario margins retain the supplied model assumptions for comparability. Microsoft disclosed a 2.3-year weighted-average commercial-RPO duration including OpenAI at June 30, 2026; using 2.3 years would be a methodology change.
Contextual public filing: https://www.sec.gov/Archives/edgar/data/789019/000119312526323660/msft-20260630.htm</t>
        </r>
      </text>
    </comment>
    <comment ref="W5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MODEL ASSUMPTION — bull NOPAT margin
Value: 0.4
This is not a company-reported AI-only metric.
AI share, 2.5-year duration, and scenario margins retain the supplied model assumptions for comparability. Microsoft disclosed a 2.3-year weighted-average commercial-RPO duration including OpenAI at June 30, 2026; using 2.3 years would be a methodology change.
Contextual public filing: https://www.sec.gov/Archives/edgar/data/789019/000119312526323660/msft-20260630.htm</t>
        </r>
      </text>
    </comment>
    <comment ref="X5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MSFT WACC sector input
Value: 9.34%
Public source: https://pages.stern.nyu.edu/~adamodar/New_Home_Page/datafile/wacc.html
Evidence: Damodaran January 2026 U.S. industry cost of capital for Software (System &amp; Application), January 2026 U.S. industry average. This is an analyst-selected sector average, not a company-specific WACC.
Classification: public filing / official company disclosure unless stated otherwise.</t>
        </r>
      </text>
    </comment>
    <comment ref="Z5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MSFT annual capex plan / guide
Value: $175.0B
Public source: https://www.microsoft.com/en-us/investor/events/fy-2026/earnings-fy-2026-q4
Evidence: Microsoft reduced reported CY2026 capex expectation to approximately $175B from roughly $190B because longer datacenter useful lives shift future leases from finance leases included in its capex metric to operating leases excluded from it. Management said underlying investment expectations were unchanged; the lower denominator is a classification effect.
Classification: public filing / official company disclosure unless stated otherwise.</t>
        </r>
      </text>
    </comment>
    <comment ref="AB5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MSFT annual capex plan / guide
Value: $175.0B
Public source: https://www.microsoft.com/en-us/investor/events/fy-2026/earnings-fy-2026-q4
Evidence: Microsoft reduced reported CY2026 capex expectation to approximately $175B from roughly $190B because longer datacenter useful lives shift future leases from finance leases included in its capex metric to operating leases excluded from it. Management said underlying investment expectations were unchanged; the lower denominator is a classification effect.
Classification: public filing / official company disclosure unless stated otherwise.</t>
        </r>
      </text>
    </comment>
    <comment ref="F6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MSFT Q3 25 — Commercial remaining performance obligation
Value: $392.000B
Public source: https://www.sec.gov/Archives/edgar/data/789019/000119312525256321/msft-20250930.htm
Evidence: The 10-Q reports $398B total RPO, of which $392B is commercial RPO.
Local source: 01_sources/company_filings/microsoft/Microsoft_2025-10-29_10-Q_msft-20250930.htm
Classification: public filing / official company disclosure unless stated otherwise.</t>
        </r>
      </text>
    </comment>
    <comment ref="H6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MSFT Q3 25 — quarterly capex
Value: $34.900B
Public source: https://www.microsoft.com/en-us/Investor/earnings/FY-2026-Q1/press-release-webcast
Evidence: Official FY26 Q1 transcript: capital expenditures were $34.9B.
Local source: 01_sources/company_filings/microsoft/Microsoft_2025-10-29_10-Q_msft-20250930.htm
Classification: public filing / official company disclosure unless stated otherwise.</t>
        </r>
      </text>
    </comment>
    <comment ref="J6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MSFT Q3 25 — Commercial remaining performance obligation
Value: $392.000B
Public source: https://www.sec.gov/Archives/edgar/data/789019/000119312525256321/msft-20250930.htm
Evidence: The 10-Q reports $398B total RPO, of which $392B is commercial RPO.
Local source: 01_sources/company_filings/microsoft/Microsoft_2025-10-29_10-Q_msft-20250930.htm
Classification: public filing / official company disclosure unless stated otherwise.</t>
        </r>
      </text>
    </comment>
    <comment ref="K6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MSFT Q3 25 — quarterly capex
Value: $34.900B
Public source: https://www.microsoft.com/en-us/Investor/earnings/FY-2026-Q1/press-release-webcast
Evidence: Official FY26 Q1 transcript: capital expenditures were $34.9B.
Local source: 01_sources/company_filings/microsoft/Microsoft_2025-10-29_10-Q_msft-20250930.htm
Classification: public filing / official company disclosure unless stated otherwise.</t>
        </r>
      </text>
    </comment>
    <comment ref="R6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MODEL ASSUMPTION — AI share of RPO/revenue
Value: 0.65
This is not a company-reported AI-only metric.
AI share, 2.5-year duration, and scenario margins retain the supplied model assumptions. Alphabet says just over half of backlog should be recognized over 24 months but does not disclose a single average duration or a 65% AI share.
Contextual public filing: https://www.sec.gov/Archives/edgar/data/1652044/000165204426000071/goog-20260630.htm</t>
        </r>
      </text>
    </comment>
    <comment ref="S6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MODEL ASSUMPTION — RPO duration
Value: 2.5
This is not a company-reported AI-only metric.
AI share, 2.5-year duration, and scenario margins retain the supplied model assumptions. Alphabet says just over half of backlog should be recognized over 24 months but does not disclose a single average duration or a 65% AI share.
Contextual public filing: https://www.sec.gov/Archives/edgar/data/1652044/000165204426000071/goog-20260630.htm</t>
        </r>
      </text>
    </comment>
    <comment ref="T6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MODEL ASSUMPTION — AI share of capex
Value: 0.8
This is not a company-reported AI-only metric.
AI share, 2.5-year duration, and scenario margins retain the supplied model assumptions. Alphabet says just over half of backlog should be recognized over 24 months but does not disclose a single average duration or a 65% AI share.
Contextual public filing: https://www.sec.gov/Archives/edgar/data/1652044/000165204426000071/goog-20260630.htm</t>
        </r>
      </text>
    </comment>
    <comment ref="U6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MODEL ASSUMPTION — bear NOPAT margin
Value: 0.2
This is not a company-reported AI-only metric.
AI share, 2.5-year duration, and scenario margins retain the supplied model assumptions. Alphabet says just over half of backlog should be recognized over 24 months but does not disclose a single average duration or a 65% AI share.
Contextual public filing: https://www.sec.gov/Archives/edgar/data/1652044/000165204426000071/goog-20260630.htm</t>
        </r>
      </text>
    </comment>
    <comment ref="V6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MODEL ASSUMPTION — base NOPAT margin
Value: 0.3
This is not a company-reported AI-only metric.
AI share, 2.5-year duration, and scenario margins retain the supplied model assumptions. Alphabet says just over half of backlog should be recognized over 24 months but does not disclose a single average duration or a 65% AI share.
Contextual public filing: https://www.sec.gov/Archives/edgar/data/1652044/000165204426000071/goog-20260630.htm</t>
        </r>
      </text>
    </comment>
    <comment ref="W6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MODEL ASSUMPTION — bull NOPAT margin
Value: 0.4
This is not a company-reported AI-only metric.
AI share, 2.5-year duration, and scenario margins retain the supplied model assumptions. Alphabet says just over half of backlog should be recognized over 24 months but does not disclose a single average duration or a 65% AI share.
Contextual public filing: https://www.sec.gov/Archives/edgar/data/1652044/000165204426000071/goog-20260630.htm</t>
        </r>
      </text>
    </comment>
    <comment ref="X6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GOOG WACC sector input
Value: 10.66%
Public source: https://pages.stern.nyu.edu/~adamodar/New_Home_Page/datafile/wacc.html
Evidence: Damodaran January 2026 U.S. industry cost of capital for Software (Internet), January 2026 U.S. industry average. This is an analyst-selected sector average, not a company-specific WACC.
Classification: public filing / official company disclosure unless stated otherwise.</t>
        </r>
      </text>
    </comment>
    <comment ref="Z6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GOOG annual capex plan / guide
Value: $200.0B
Public source: https://abc.xyz/investor/events/event-details/2026/2026-Q2-Earnings-Call-2026-GgTAq7Is0z/default.aspx
Evidence: Alphabet's official Q2 2026 call raised its 2026 capex range to $195B-$205B from $180B-$190B. $200B is the model midpoint, not company point guidance.
Classification: public filing / official company disclosure unless stated otherwise.</t>
        </r>
      </text>
    </comment>
    <comment ref="AB6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GOOG annual capex plan / guide
Value: $200.0B
Public source: https://abc.xyz/investor/events/event-details/2026/2026-Q2-Earnings-Call-2026-GgTAq7Is0z/default.aspx
Evidence: Alphabet's official Q2 2026 call raised its 2026 capex range to $195B-$205B from $180B-$190B. $200B is the model midpoint, not company point guidance.
Classification: public filing / official company disclosure unless stated otherwise.</t>
        </r>
      </text>
    </comment>
    <comment ref="F7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MSFT Q4 25 — Commercial remaining performance obligation
Value: $625.000B
Public source: https://www.sec.gov/Archives/edgar/data/789019/000119312526027207/msft-20251231.htm
Evidence: Commercial RPO was $625B with a weighted-average duration of approximately 2.5 years.
Local source: 01_sources/company_filings/microsoft/Microsoft_2026-01-28_10-Q_msft-20251231.htm
Classification: public filing / official company disclosure unless stated otherwise.</t>
        </r>
      </text>
    </comment>
    <comment ref="H7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MSFT Q4 25 — quarterly capex
Value: $37.500B
Public source: https://www.microsoft.com/en-us/Investor/earnings/FY-2026-Q2/press-release-webcast
Evidence: Official FY26 Q2 transcript: capital expenditures were $37.5B.
Local source: 01_sources/company_filings/microsoft/Microsoft_2026-01-28_10-Q_msft-20251231.htm
Classification: public filing / official company disclosure unless stated otherwise.</t>
        </r>
      </text>
    </comment>
    <comment ref="J7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MSFT Q4 25 — Commercial remaining performance obligation
Value: $625.000B
Public source: https://www.sec.gov/Archives/edgar/data/789019/000119312526027207/msft-20251231.htm
Evidence: Commercial RPO was $625B with a weighted-average duration of approximately 2.5 years.
Local source: 01_sources/company_filings/microsoft/Microsoft_2026-01-28_10-Q_msft-20251231.htm
Classification: public filing / official company disclosure unless stated otherwise.</t>
        </r>
      </text>
    </comment>
    <comment ref="K7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MSFT Q4 25 — quarterly capex
Value: $37.500B
Public source: https://www.microsoft.com/en-us/Investor/earnings/FY-2026-Q2/press-release-webcast
Evidence: Official FY26 Q2 transcript: capital expenditures were $37.5B.
Local source: 01_sources/company_filings/microsoft/Microsoft_2026-01-28_10-Q_msft-20251231.htm
Classification: public filing / official company disclosure unless stated otherwise.</t>
        </r>
      </text>
    </comment>
    <comment ref="R7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MODEL ASSUMPTION — AI share of RPO/revenue
Value: 0.55
This is not a company-reported AI-only metric.
AI share, four-year duration, and scenario margins retain the supplied model assumptions for comparability. Amazon disclosed a 6.4-year weighted-average remaining contract life at June 30, 2026; the four-year model input materially accelerates the annualized revenue proxy.
Contextual public filing: https://www.sec.gov/Archives/edgar/data/1018724/000101872426000026/amzn-20260630.htm</t>
        </r>
      </text>
    </comment>
    <comment ref="S7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MODEL ASSUMPTION — RPO duration
Value: 4.0
This is not a company-reported AI-only metric.
AI share, four-year duration, and scenario margins retain the supplied model assumptions for comparability. Amazon disclosed a 6.4-year weighted-average remaining contract life at June 30, 2026; the four-year model input materially accelerates the annualized revenue proxy.
Contextual public filing: https://www.sec.gov/Archives/edgar/data/1018724/000101872426000026/amzn-20260630.htm</t>
        </r>
      </text>
    </comment>
    <comment ref="T7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MODEL ASSUMPTION — AI share of capex
Value: 0.75
This is not a company-reported AI-only metric.
AI share, four-year duration, and scenario margins retain the supplied model assumptions for comparability. Amazon disclosed a 6.4-year weighted-average remaining contract life at June 30, 2026; the four-year model input materially accelerates the annualized revenue proxy.
Contextual public filing: https://www.sec.gov/Archives/edgar/data/1018724/000101872426000026/amzn-20260630.htm</t>
        </r>
      </text>
    </comment>
    <comment ref="U7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MODEL ASSUMPTION — bear NOPAT margin
Value: 0.2
This is not a company-reported AI-only metric.
AI share, four-year duration, and scenario margins retain the supplied model assumptions for comparability. Amazon disclosed a 6.4-year weighted-average remaining contract life at June 30, 2026; the four-year model input materially accelerates the annualized revenue proxy.
Contextual public filing: https://www.sec.gov/Archives/edgar/data/1018724/000101872426000026/amzn-20260630.htm</t>
        </r>
      </text>
    </comment>
    <comment ref="V7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MODEL ASSUMPTION — base NOPAT margin
Value: 0.28
This is not a company-reported AI-only metric.
AI share, four-year duration, and scenario margins retain the supplied model assumptions for comparability. Amazon disclosed a 6.4-year weighted-average remaining contract life at June 30, 2026; the four-year model input materially accelerates the annualized revenue proxy.
Contextual public filing: https://www.sec.gov/Archives/edgar/data/1018724/000101872426000026/amzn-20260630.htm</t>
        </r>
      </text>
    </comment>
    <comment ref="W7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MODEL ASSUMPTION — bull NOPAT margin
Value: 0.38
This is not a company-reported AI-only metric.
AI share, four-year duration, and scenario margins retain the supplied model assumptions for comparability. Amazon disclosed a 6.4-year weighted-average remaining contract life at June 30, 2026; the four-year model input materially accelerates the annualized revenue proxy.
Contextual public filing: https://www.sec.gov/Archives/edgar/data/1018724/000101872426000026/amzn-20260630.htm</t>
        </r>
      </text>
    </comment>
    <comment ref="X7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AMZN WACC sector input
Value: 7.27%
Public source: https://pages.stern.nyu.edu/~adamodar/New_Home_Page/datafile/wacc.html
Evidence: Damodaran January 2026 U.S. industry cost of capital for Retail (General), January 2026 U.S. industry average. This is an analyst-selected sector average, not a company-specific WACC.
Classification: public filing / official company disclosure unless stated otherwise.</t>
        </r>
      </text>
    </comment>
    <comment ref="Z7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AMZN annual capex plan / guide
Value: $200.0B
Public source: https://www.sec.gov/Archives/edgar/data/1018724/000101872426000002/amzn-20251231xex991.htm
Evidence: Amazon's SEC-filed Q4 2025 release said it expected about $200B of 2026 capex. The Q2 2026 10-Q and filed release did not provide a replacement numeric full-year plan.
Classification: public filing / official company disclosure unless stated otherwise.</t>
        </r>
      </text>
    </comment>
    <comment ref="AB7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AMZN annual capex plan / guide
Value: $200.0B
Public source: https://www.sec.gov/Archives/edgar/data/1018724/000101872426000002/amzn-20251231xex991.htm
Evidence: Amazon's SEC-filed Q4 2025 release said it expected about $200B of 2026 capex. The Q2 2026 10-Q and filed release did not provide a replacement numeric full-year plan.
Classification: public filing / official company disclosure unless stated otherwise.</t>
        </r>
      </text>
    </comment>
    <comment ref="F8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MSFT Q1 26 — Commercial remaining performance obligation
Value: $627.000B
Public source: https://www.sec.gov/Archives/edgar/data/789019/000119312526191507/msft-20260331.htm
Evidence: Commercial RPO was $627B with a weighted-average duration of approximately 2.5 years.
Local source: 01_sources/company_filings/microsoft/Microsoft_2026-04-29_10-Q_msft-20260331.htm
Classification: public filing / official company disclosure unless stated otherwise.</t>
        </r>
      </text>
    </comment>
    <comment ref="H8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MSFT Q1 26 — quarterly capex
Value: $31.900B
Public source: https://www.microsoft.com/en-us/Investor/earnings/FY-2026-Q3/press-release-webcast
Evidence: Official FY26 Q3 transcript: capital expenditures were $31.9B; cash paid for PP&amp;E was $30.9B.
Local source: 01_sources/company_filings/microsoft/Microsoft_2026-04-29_10-Q_msft-20260331.htm
Classification: public filing / official company disclosure unless stated otherwise.</t>
        </r>
      </text>
    </comment>
    <comment ref="J8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MSFT Q1 26 — Commercial remaining performance obligation
Value: $627.000B
Public source: https://www.sec.gov/Archives/edgar/data/789019/000119312526191507/msft-20260331.htm
Evidence: Commercial RPO was $627B with a weighted-average duration of approximately 2.5 years.
Local source: 01_sources/company_filings/microsoft/Microsoft_2026-04-29_10-Q_msft-20260331.htm
Classification: public filing / official company disclosure unless stated otherwise.</t>
        </r>
      </text>
    </comment>
    <comment ref="K8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MSFT Q1 26 — quarterly capex
Value: $31.900B
Public source: https://www.microsoft.com/en-us/Investor/earnings/FY-2026-Q3/press-release-webcast
Evidence: Official FY26 Q3 transcript: capital expenditures were $31.9B; cash paid for PP&amp;E was $30.9B.
Local source: 01_sources/company_filings/microsoft/Microsoft_2026-04-29_10-Q_msft-20260331.htm
Classification: public filing / official company disclosure unless stated otherwise.</t>
        </r>
      </text>
    </comment>
    <comment ref="R8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MODEL ASSUMPTION — AI share of RPO/revenue
Value: 0.85
This is not a company-reported AI-only metric.
AI shares, five-year duration, and scenario margins retain the supplied model assumptions. Oracle reports company-wide RPO and does not disclose that 85% is AI or that recognition is straight-line over five years.
Contextual public filing: https://www.sec.gov/Archives/edgar/data/1341439/000119312526277521/orcl-20260531.htm</t>
        </r>
      </text>
    </comment>
    <comment ref="S8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MODEL ASSUMPTION — RPO duration
Value: 5.0
This is not a company-reported AI-only metric.
AI shares, five-year duration, and scenario margins retain the supplied model assumptions. Oracle reports company-wide RPO and does not disclose that 85% is AI or that recognition is straight-line over five years.
Contextual public filing: https://www.sec.gov/Archives/edgar/data/1341439/000119312526277521/orcl-20260531.htm</t>
        </r>
      </text>
    </comment>
    <comment ref="T8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MODEL ASSUMPTION — AI share of capex
Value: 0.9
This is not a company-reported AI-only metric.
AI shares, five-year duration, and scenario margins retain the supplied model assumptions. Oracle reports company-wide RPO and does not disclose that 85% is AI or that recognition is straight-line over five years.
Contextual public filing: https://www.sec.gov/Archives/edgar/data/1341439/000119312526277521/orcl-20260531.htm</t>
        </r>
      </text>
    </comment>
    <comment ref="U8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MODEL ASSUMPTION — bear NOPAT margin
Value: 0.1
This is not a company-reported AI-only metric.
AI shares, five-year duration, and scenario margins retain the supplied model assumptions. Oracle reports company-wide RPO and does not disclose that 85% is AI or that recognition is straight-line over five years.
Contextual public filing: https://www.sec.gov/Archives/edgar/data/1341439/000119312526277521/orcl-20260531.htm</t>
        </r>
      </text>
    </comment>
    <comment ref="V8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MODEL ASSUMPTION — base NOPAT margin
Value: 0.18
This is not a company-reported AI-only metric.
AI shares, five-year duration, and scenario margins retain the supplied model assumptions. Oracle reports company-wide RPO and does not disclose that 85% is AI or that recognition is straight-line over five years.
Contextual public filing: https://www.sec.gov/Archives/edgar/data/1341439/000119312526277521/orcl-20260531.htm</t>
        </r>
      </text>
    </comment>
    <comment ref="W8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MODEL ASSUMPTION — bull NOPAT margin
Value: 0.25
This is not a company-reported AI-only metric.
AI shares, five-year duration, and scenario margins retain the supplied model assumptions. Oracle reports company-wide RPO and does not disclose that 85% is AI or that recognition is straight-line over five years.
Contextual public filing: https://www.sec.gov/Archives/edgar/data/1341439/000119312526277521/orcl-20260531.htm</t>
        </r>
      </text>
    </comment>
    <comment ref="X8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ORCL WACC sector input
Value: 7.83%
Public source: https://pages.stern.nyu.edu/~adamodar/New_Home_Page/datafile/wacc.html
Evidence: Damodaran January 2026 U.S. industry cost of capital for Computer Services, January 2026 U.S. industry average. This is an analyst-selected sector average, not a company-specific WACC.
Classification: public filing / official company disclosure unless stated otherwise.</t>
        </r>
      </text>
    </comment>
    <comment ref="Z8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ORCL annual capex plan / guide
Value: $55.7B
Public source: https://www.sec.gov/Archives/edgar/data/1341439/000119312526265848/orcl-ex99_1.htm
Evidence: Oracle reported FY2026 GAAP cash capex of $55.663B. Official Q4 slides guide to approximately $70B of FY2027 net cash outlay for capex, a non-GAAP measure that deducts capex financing and customer prepayments and is not interchangeable with gross capex. The model uses the latest completed gross-capex actual rather than the expired $50B FY2026 outlook. Official slides: https://s23.q4cdn.com/440135859/files/doc_financials/2026/q4/Q4-FY26-Oracle-Earnings-Slides.pdf. Local backup: 01_sources/company_filings/oracle/Oracle_2026-06-10_Q4-FY26_Earnings_Slides.pdf
Classification: public filing / official company disclosure unless stated otherwise.</t>
        </r>
      </text>
    </comment>
    <comment ref="AB8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ORCL annual capex plan / guide
Value: $55.7B
Public source: https://www.sec.gov/Archives/edgar/data/1341439/000119312526265848/orcl-ex99_1.htm
Evidence: Oracle reported FY2026 GAAP cash capex of $55.663B. Official Q4 slides guide to approximately $70B of FY2027 net cash outlay for capex, a non-GAAP measure that deducts capex financing and customer prepayments and is not interchangeable with gross capex. The model uses the latest completed gross-capex actual rather than the expired $50B FY2026 outlook. Official slides: https://s23.q4cdn.com/440135859/files/doc_financials/2026/q4/Q4-FY26-Oracle-Earnings-Slides.pdf. Local backup: 01_sources/company_filings/oracle/Oracle_2026-06-10_Q4-FY26_Earnings_Slides.pdf
Classification: public filing / official company disclosure unless stated otherwise.</t>
        </r>
      </text>
    </comment>
    <comment ref="F9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MSFT Q2 26 — Commercial remaining performance obligation
Value: $678.000B
Public source: https://www.sec.gov/Archives/edgar/data/789019/000119312526323660/msft-20260630.htm
Evidence: Commercial remaining performance obligation was $678B; total company RPO was $684B. Weighted-average commercial-RPO duration including OpenAI was 2.3 years.
Local source: 01_sources/company_filings/microsoft/Microsoft_2026-07-29_10-K_msft-20260630.htm
Classification: public filing / official company disclosure unless stated otherwise.</t>
        </r>
      </text>
    </comment>
    <comment ref="H9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MSFT Q2 26 — quarterly capex
Value: $41.000B
Public source: https://www.microsoft.com/en-us/investor/events/fy-2026/earnings-fy-2026-q4
Evidence: Official FY26 Q4 call reports management capex of $41.0B, including $5.6B of finance leases; cash paid for PP&amp;E was $35.8B. The trajectory preserves Microsoft's management capex series.
Local source: 01_sources/company_filings/microsoft/Microsoft_2026-07-29_10-K_msft-20260630.htm
Classification: public filing / official company disclosure unless stated otherwise.</t>
        </r>
      </text>
    </comment>
    <comment ref="J9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MSFT Q2 26 — Commercial remaining performance obligation
Value: $678.000B
Public source: https://www.sec.gov/Archives/edgar/data/789019/000119312526323660/msft-20260630.htm
Evidence: Commercial remaining performance obligation was $678B; total company RPO was $684B. Weighted-average commercial-RPO duration including OpenAI was 2.3 years.
Local source: 01_sources/company_filings/microsoft/Microsoft_2026-07-29_10-K_msft-20260630.htm
Classification: public filing / official company disclosure unless stated otherwise.</t>
        </r>
      </text>
    </comment>
    <comment ref="K9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MSFT Q2 26 — quarterly capex
Value: $41.000B
Public source: https://www.microsoft.com/en-us/investor/events/fy-2026/earnings-fy-2026-q4
Evidence: Official FY26 Q4 call reports management capex of $41.0B, including $5.6B of finance leases; cash paid for PP&amp;E was $35.8B. The trajectory preserves Microsoft's management capex series.
Local source: 01_sources/company_filings/microsoft/Microsoft_2026-07-29_10-K_msft-20260630.htm
Classification: public filing / official company disclosure unless stated otherwise.</t>
        </r>
      </text>
    </comment>
    <comment ref="R9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MODEL ASSUMPTION — AI share of RPO/revenue
Value: 0.2
This is not a company-reported AI-only metric.
The 20% AI revenue attribution, 90% AI capex share, and scenario margins retain the supplied model assumptions. Meta does not report standalone AI revenue or AI-only capex.
Contextual public filing: https://www.sec.gov/Archives/edgar/data/1326801/000162828026050705/meta-20260630.htm</t>
        </r>
      </text>
    </comment>
    <comment ref="S9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MODEL ASSUMPTION — RPO duration
Value: None
This is not a company-reported AI-only metric.
The 20% AI revenue attribution, 90% AI capex share, and scenario margins retain the supplied model assumptions. Meta does not report standalone AI revenue or AI-only capex.
Contextual public filing: https://www.sec.gov/Archives/edgar/data/1326801/000162828026050705/meta-20260630.htm</t>
        </r>
      </text>
    </comment>
    <comment ref="T9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MODEL ASSUMPTION — AI share of capex
Value: 0.9
This is not a company-reported AI-only metric.
The 20% AI revenue attribution, 90% AI capex share, and scenario margins retain the supplied model assumptions. Meta does not report standalone AI revenue or AI-only capex.
Contextual public filing: https://www.sec.gov/Archives/edgar/data/1326801/000162828026050705/meta-20260630.htm</t>
        </r>
      </text>
    </comment>
    <comment ref="U9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MODEL ASSUMPTION — bear NOPAT margin
Value: 0.25
This is not a company-reported AI-only metric.
The 20% AI revenue attribution, 90% AI capex share, and scenario margins retain the supplied model assumptions. Meta does not report standalone AI revenue or AI-only capex.
Contextual public filing: https://www.sec.gov/Archives/edgar/data/1326801/000162828026050705/meta-20260630.htm</t>
        </r>
      </text>
    </comment>
    <comment ref="V9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MODEL ASSUMPTION — base NOPAT margin
Value: 0.32
This is not a company-reported AI-only metric.
The 20% AI revenue attribution, 90% AI capex share, and scenario margins retain the supplied model assumptions. Meta does not report standalone AI revenue or AI-only capex.
Contextual public filing: https://www.sec.gov/Archives/edgar/data/1326801/000162828026050705/meta-20260630.htm</t>
        </r>
      </text>
    </comment>
    <comment ref="W9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MODEL ASSUMPTION — bull NOPAT margin
Value: 0.4
This is not a company-reported AI-only metric.
The 20% AI revenue attribution, 90% AI capex share, and scenario margins retain the supplied model assumptions. Meta does not report standalone AI revenue or AI-only capex.
Contextual public filing: https://www.sec.gov/Archives/edgar/data/1326801/000162828026050705/meta-20260630.htm</t>
        </r>
      </text>
    </comment>
    <comment ref="X9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META WACC sector input
Value: 10.66%
Public source: https://pages.stern.nyu.edu/~adamodar/New_Home_Page/datafile/wacc.html
Evidence: Damodaran January 2026 U.S. industry cost of capital for Software (Internet), January 2026 U.S. industry average. This is an analyst-selected sector average, not a company-specific WACC.
Classification: public filing / official company disclosure unless stated otherwise.</t>
        </r>
      </text>
    </comment>
    <comment ref="Z9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META annual capex plan / guide
Value: $137.5B
Public source: https://www.sec.gov/Archives/edgar/data/1326801/000162828026050596/meta-06302026xexhibit991.htm
Evidence: Meta narrowed 2026 capex guidance to $130B-$145B from $125B-$145B. $137.5B is the model midpoint, not company point guidance.
Classification: public filing / official company disclosure unless stated otherwise.</t>
        </r>
      </text>
    </comment>
    <comment ref="AB9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META annual capex plan / guide
Value: $137.5B
Public source: https://www.sec.gov/Archives/edgar/data/1326801/000162828026050596/meta-06302026xexhibit991.htm
Evidence: Meta narrowed 2026 capex guidance to $130B-$145B from $125B-$145B. $137.5B is the model midpoint, not company point guidance.
Classification: public filing / official company disclosure unless stated otherwise.</t>
        </r>
      </text>
    </comment>
    <comment ref="F10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GOOG Q2 25 — Revenue backlog / remaining performance obligations
Value: $108.200B
Public source: https://www.sec.gov/Archives/edgar/data/1652044/000165204425000062/goog-20250630.htm
Evidence: Revenue backlog/RPO was $108.2B as of June 30, 2025.
Classification: public filing / official company disclosure unless stated otherwise.</t>
        </r>
      </text>
    </comment>
    <comment ref="H10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GOOG Q2 25 — quarterly capex
Value: $22.446B
Public source: https://www.sec.gov/Archives/edgar/data/1652044/000165204425000062/goog-20250630.htm
Evidence: Quarter capex = $39.643B first-half cash PP&amp;E purchases less $17.197B Q1 = $22.446B.
Classification: public filing / official company disclosure unless stated otherwise.</t>
        </r>
      </text>
    </comment>
    <comment ref="J10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GOOG Q2 25 — Revenue backlog / remaining performance obligations
Value: $108.200B
Public source: https://www.sec.gov/Archives/edgar/data/1652044/000165204425000062/goog-20250630.htm
Evidence: Revenue backlog/RPO was $108.2B as of June 30, 2025.
Classification: public filing / official company disclosure unless stated otherwise.</t>
        </r>
      </text>
    </comment>
    <comment ref="K10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GOOG Q2 25 — quarterly capex
Value: $22.446B
Public source: https://www.sec.gov/Archives/edgar/data/1652044/000165204425000062/goog-20250630.htm
Evidence: Quarter capex = $39.643B first-half cash PP&amp;E purchases less $17.197B Q1 = $22.446B.
Classification: public filing / official company disclosure unless stated otherwise.</t>
        </r>
      </text>
    </comment>
    <comment ref="F11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GOOG Q3 25 — Revenue backlog / remaining performance obligations
Value: $157.700B
Public source: https://www.sec.gov/Archives/edgar/data/1652044/000165204425000091/goog-20250930.htm
Evidence: Revenue backlog/RPO was $157.7B as of September 30, 2025, primarily related to Google Cloud.
Local source: 01_sources/company_filings/alphabet/Alphabet_2025-10-30_10-Q_goog-20250930.htm
Classification: public filing / official company disclosure unless stated otherwise.</t>
        </r>
      </text>
    </comment>
    <comment ref="H11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GOOG Q3 25 — quarterly capex
Value: $23.953B
Public source: https://www.sec.gov/Archives/edgar/data/1652044/000165204425000091/goog-20250930.htm
Evidence: Quarter capex = $63.596B nine-month cash PP&amp;E purchases less $39.643B first half = $23.953B.
Local source: 01_sources/company_filings/alphabet/Alphabet_2025-10-30_10-Q_goog-20250930.htm
Classification: public filing / official company disclosure unless stated otherwise.</t>
        </r>
      </text>
    </comment>
    <comment ref="J11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GOOG Q3 25 — Revenue backlog / remaining performance obligations
Value: $157.700B
Public source: https://www.sec.gov/Archives/edgar/data/1652044/000165204425000091/goog-20250930.htm
Evidence: Revenue backlog/RPO was $157.7B as of September 30, 2025, primarily related to Google Cloud.
Local source: 01_sources/company_filings/alphabet/Alphabet_2025-10-30_10-Q_goog-20250930.htm
Classification: public filing / official company disclosure unless stated otherwise.</t>
        </r>
      </text>
    </comment>
    <comment ref="K11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GOOG Q3 25 — quarterly capex
Value: $23.953B
Public source: https://www.sec.gov/Archives/edgar/data/1652044/000165204425000091/goog-20250930.htm
Evidence: Quarter capex = $63.596B nine-month cash PP&amp;E purchases less $39.643B first half = $23.953B.
Local source: 01_sources/company_filings/alphabet/Alphabet_2025-10-30_10-Q_goog-20250930.htm
Classification: public filing / official company disclosure unless stated otherwise.</t>
        </r>
      </text>
    </comment>
    <comment ref="F12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GOOG Q4 25 — Revenue backlog / remaining performance obligations
Value: $242.800B
Public source: https://www.sec.gov/Archives/edgar/data/1652044/000165204426000018/goog-20251231.htm
Evidence: Revenue backlog/RPO was $242.8B as of December 31, 2025, primarily related to Google Cloud.
Local source: 01_sources/company_filings/alphabet/Alphabet_2026-02-05_10-K_goog-20251231.htm
Classification: public filing / official company disclosure unless stated otherwise.</t>
        </r>
      </text>
    </comment>
    <comment ref="H12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GOOG Q4 25 — quarterly capex
Value: $27.851B
Public source: https://www.sec.gov/Archives/edgar/data/1652044/000165204426000018/goog-20251231.htm
Evidence: Quarter capex = $91.447B FY2025 cash PP&amp;E purchases less $63.596B first nine months = $27.851B.
Local source: 01_sources/company_filings/alphabet/Alphabet_2026-02-05_10-K_goog-20251231.htm
Classification: public filing / official company disclosure unless stated otherwise.</t>
        </r>
      </text>
    </comment>
    <comment ref="J12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GOOG Q4 25 — Revenue backlog / remaining performance obligations
Value: $242.800B
Public source: https://www.sec.gov/Archives/edgar/data/1652044/000165204426000018/goog-20251231.htm
Evidence: Revenue backlog/RPO was $242.8B as of December 31, 2025, primarily related to Google Cloud.
Local source: 01_sources/company_filings/alphabet/Alphabet_2026-02-05_10-K_goog-20251231.htm
Classification: public filing / official company disclosure unless stated otherwise.</t>
        </r>
      </text>
    </comment>
    <comment ref="K12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GOOG Q4 25 — quarterly capex
Value: $27.851B
Public source: https://www.sec.gov/Archives/edgar/data/1652044/000165204426000018/goog-20251231.htm
Evidence: Quarter capex = $91.447B FY2025 cash PP&amp;E purchases less $63.596B first nine months = $27.851B.
Local source: 01_sources/company_filings/alphabet/Alphabet_2026-02-05_10-K_goog-20251231.htm
Classification: public filing / official company disclosure unless stated otherwise.</t>
        </r>
      </text>
    </comment>
    <comment ref="F13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GOOG Q1 26 — Revenue backlog / remaining performance obligations
Value: $467.600B
Public source: https://www.sec.gov/Archives/edgar/data/1652044/000165204426000048/goog-20260331.htm
Evidence: Revenue backlog/RPO was $467.6B; $462.3B related to Google Cloud. Alphabet changed the definition in Q1 2026 to include original terms of one year or less ($7.3B), so the series has a comparability break.
Local source: 01_sources/company_filings/alphabet/Alphabet_2026-04-30_10-Q_goog-20260331.htm
Classification: public filing / official company disclosure unless stated otherwise.</t>
        </r>
      </text>
    </comment>
    <comment ref="H13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GOOG Q1 26 — quarterly capex
Value: $35.674B
Public source: https://www.sec.gov/Archives/edgar/data/1652044/000165204426000048/goog-20260331.htm
Evidence: The Q1 2026 10-Q reports $35.674B of cash purchases of property and equipment.
Local source: 01_sources/company_filings/alphabet/Alphabet_2026-04-30_10-Q_goog-20260331.htm
Classification: public filing / official company disclosure unless stated otherwise.</t>
        </r>
      </text>
    </comment>
    <comment ref="J13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GOOG Q1 26 — Revenue backlog / remaining performance obligations
Value: $467.600B
Public source: https://www.sec.gov/Archives/edgar/data/1652044/000165204426000048/goog-20260331.htm
Evidence: Revenue backlog/RPO was $467.6B; $462.3B related to Google Cloud. Alphabet changed the definition in Q1 2026 to include original terms of one year or less ($7.3B), so the series has a comparability break.
Local source: 01_sources/company_filings/alphabet/Alphabet_2026-04-30_10-Q_goog-20260331.htm
Classification: public filing / official company disclosure unless stated otherwise.</t>
        </r>
      </text>
    </comment>
    <comment ref="K13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GOOG Q1 26 — quarterly capex
Value: $35.674B
Public source: https://www.sec.gov/Archives/edgar/data/1652044/000165204426000048/goog-20260331.htm
Evidence: The Q1 2026 10-Q reports $35.674B of cash purchases of property and equipment.
Local source: 01_sources/company_filings/alphabet/Alphabet_2026-04-30_10-Q_goog-20260331.htm
Classification: public filing / official company disclosure unless stated otherwise.</t>
        </r>
      </text>
    </comment>
    <comment ref="F14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GOOG Q2 26 — Revenue backlog / remaining performance obligations
Value: $519.500B
Public source: https://www.sec.gov/Archives/edgar/data/1652044/000165204426000071/goog-20260630.htm
Evidence: Revenue backlog/RPO was $519.5B, including $513.9B related to Google Cloud. The Q1 2026 short-term-contract definition change remains in effect, and Cloud backlog now includes TPU system-sale agreements; the vast majority remains GCP agreements.
Local source: 01_sources/company_filings/alphabet/Alphabet_2026-07-23_10-Q_goog-20260630.htm
Classification: public filing / official company disclosure unless stated otherwise.</t>
        </r>
      </text>
    </comment>
    <comment ref="H14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GOOG Q2 26 — quarterly capex
Value: $44.924B
Public source: https://www.sec.gov/Archives/edgar/data/1652044/000165204426000071/goog-20260630.htm
Evidence: The Q2 2026 10-Q reports exact cash purchases of PP&amp;E of $44.924B; narrative disclosure rounds to $44.9B.
Local source: 01_sources/company_filings/alphabet/Alphabet_2026-07-23_10-Q_goog-20260630.htm
Classification: public filing / official company disclosure unless stated otherwise.</t>
        </r>
      </text>
    </comment>
    <comment ref="J14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GOOG Q2 26 — Revenue backlog / remaining performance obligations
Value: $519.500B
Public source: https://www.sec.gov/Archives/edgar/data/1652044/000165204426000071/goog-20260630.htm
Evidence: Revenue backlog/RPO was $519.5B, including $513.9B related to Google Cloud. The Q1 2026 short-term-contract definition change remains in effect, and Cloud backlog now includes TPU system-sale agreements; the vast majority remains GCP agreements.
Local source: 01_sources/company_filings/alphabet/Alphabet_2026-07-23_10-Q_goog-20260630.htm
Classification: public filing / official company disclosure unless stated otherwise.</t>
        </r>
      </text>
    </comment>
    <comment ref="K14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GOOG Q2 26 — quarterly capex
Value: $44.924B
Public source: https://www.sec.gov/Archives/edgar/data/1652044/000165204426000071/goog-20260630.htm
Evidence: The Q2 2026 10-Q reports exact cash purchases of PP&amp;E of $44.924B; narrative disclosure rounds to $44.9B.
Local source: 01_sources/company_filings/alphabet/Alphabet_2026-07-23_10-Q_goog-20260630.htm
Classification: public filing / official company disclosure unless stated otherwise.</t>
        </r>
      </text>
    </comment>
    <comment ref="F15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AMZN Q2 25 — Long-term customer commitments, primarily AWS
Value: $195.000B
Public source: https://www.sec.gov/Archives/edgar/data/1018724/000101872425000086/amzn-20250630.htm
Evidence: Long-term customer commitments, primarily AWS, were approximately $195B as of June 30, 2025.
Classification: public filing / official company disclosure unless stated otherwise.</t>
        </r>
      </text>
    </comment>
    <comment ref="H15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AMZN Q2 25 — quarterly capex
Value: $32.183B
Public source: https://www.sec.gov/Archives/edgar/data/1018724/000101872425000086/amzn-20250630.htm
Evidence: SEC XBRL PaymentsToAcquireProductiveAssets for Q2 2025 was $32.183B.
Classification: public filing / official company disclosure unless stated otherwise.</t>
        </r>
      </text>
    </comment>
    <comment ref="J15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AMZN Q2 25 — Long-term customer commitments, primarily AWS
Value: $195.000B
Public source: https://www.sec.gov/Archives/edgar/data/1018724/000101872425000086/amzn-20250630.htm
Evidence: Long-term customer commitments, primarily AWS, were approximately $195B as of June 30, 2025.
Classification: public filing / official company disclosure unless stated otherwise.</t>
        </r>
      </text>
    </comment>
    <comment ref="K15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AMZN Q2 25 — quarterly capex
Value: $32.183B
Public source: https://www.sec.gov/Archives/edgar/data/1018724/000101872425000086/amzn-20250630.htm
Evidence: SEC XBRL PaymentsToAcquireProductiveAssets for Q2 2025 was $32.183B.
Classification: public filing / official company disclosure unless stated otherwise.</t>
        </r>
      </text>
    </comment>
    <comment ref="F16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AMZN Q3 25 — Long-term customer commitments, primarily AWS
Value: $200.000B
Public source: https://www.sec.gov/Archives/edgar/data/1018724/000101872425000123/amzn-20250930.htm
Evidence: Long-term customer commitments, primarily AWS, were approximately $200B; weighted-average remaining life was 3.8 years.
Local source: 01_sources/company_filings/amazon/Amazon_2025-10-31_10-Q_amzn-20250930.htm
Classification: public filing / official company disclosure unless stated otherwise.</t>
        </r>
      </text>
    </comment>
    <comment ref="H16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AMZN Q3 25 — quarterly capex
Value: $35.095B
Public source: https://www.sec.gov/Archives/edgar/data/1018724/000101872425000123/amzn-20250930.htm
Evidence: SEC XBRL PaymentsToAcquireProductiveAssets for Q3 2025 was $35.095B.
Local source: 01_sources/company_filings/amazon/Amazon_2025-10-31_10-Q_amzn-20250930.htm
Classification: public filing / official company disclosure unless stated otherwise.</t>
        </r>
      </text>
    </comment>
    <comment ref="J16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AMZN Q3 25 — Long-term customer commitments, primarily AWS
Value: $200.000B
Public source: https://www.sec.gov/Archives/edgar/data/1018724/000101872425000123/amzn-20250930.htm
Evidence: Long-term customer commitments, primarily AWS, were approximately $200B; weighted-average remaining life was 3.8 years.
Local source: 01_sources/company_filings/amazon/Amazon_2025-10-31_10-Q_amzn-20250930.htm
Classification: public filing / official company disclosure unless stated otherwise.</t>
        </r>
      </text>
    </comment>
    <comment ref="K16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AMZN Q3 25 — quarterly capex
Value: $35.095B
Public source: https://www.sec.gov/Archives/edgar/data/1018724/000101872425000123/amzn-20250930.htm
Evidence: SEC XBRL PaymentsToAcquireProductiveAssets for Q3 2025 was $35.095B.
Local source: 01_sources/company_filings/amazon/Amazon_2025-10-31_10-Q_amzn-20250930.htm
Classification: public filing / official company disclosure unless stated otherwise.</t>
        </r>
      </text>
    </comment>
    <comment ref="F17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AMZN Q4 25 — Long-term customer commitments, primarily AWS
Value: $244.000B
Public source: https://www.sec.gov/Archives/edgar/data/1018724/000101872426000004/amzn-20251231.htm
Evidence: Long-term customer commitments, primarily AWS, were approximately $244B as of December 31, 2025.
Local source: 01_sources/company_filings/amazon/Amazon_2026-02-06_10-K_amzn-20251231.htm
Classification: public filing / official company disclosure unless stated otherwise.</t>
        </r>
      </text>
    </comment>
    <comment ref="H17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AMZN Q4 25 — quarterly capex
Value: $39.522B
Public source: https://www.sec.gov/Archives/edgar/data/1018724/000101872426000004/amzn-20251231.htm
Evidence: Quarter capex = $131.819B FY2025 less $92.297B first nine months = $39.522B.
Local source: 01_sources/company_filings/amazon/Amazon_2026-02-06_10-K_amzn-20251231.htm
Classification: public filing / official company disclosure unless stated otherwise.</t>
        </r>
      </text>
    </comment>
    <comment ref="J17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AMZN Q4 25 — Long-term customer commitments, primarily AWS
Value: $244.000B
Public source: https://www.sec.gov/Archives/edgar/data/1018724/000101872426000004/amzn-20251231.htm
Evidence: Long-term customer commitments, primarily AWS, were approximately $244B as of December 31, 2025.
Local source: 01_sources/company_filings/amazon/Amazon_2026-02-06_10-K_amzn-20251231.htm
Classification: public filing / official company disclosure unless stated otherwise.</t>
        </r>
      </text>
    </comment>
    <comment ref="K17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AMZN Q4 25 — quarterly capex
Value: $39.522B
Public source: https://www.sec.gov/Archives/edgar/data/1018724/000101872426000004/amzn-20251231.htm
Evidence: Quarter capex = $131.819B FY2025 less $92.297B first nine months = $39.522B.
Local source: 01_sources/company_filings/amazon/Amazon_2026-02-06_10-K_amzn-20251231.htm
Classification: public filing / official company disclosure unless stated otherwise.</t>
        </r>
      </text>
    </comment>
    <comment ref="F18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AMZN Q1 26 — Long-term customer commitments, primarily AWS
Value: $364.000B
Public source: https://www.sec.gov/Archives/edgar/data/1018724/000101872426000014/amzn-20260331.htm
Evidence: Long-term customer commitments, primarily AWS, were approximately $364B as of March 31, 2026—not $464B as shown in the supplied snapshot. Weighted-average remaining life was 5.5 years.
Local source: 01_sources/company_filings/amazon/Amazon_2026-04-30_10-Q_amzn-20260331.htm
Classification: public filing / official company disclosure unless stated otherwise.</t>
        </r>
      </text>
    </comment>
    <comment ref="H18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AMZN Q1 26 — quarterly capex
Value: $44.203B
Public source: https://www.sec.gov/Archives/edgar/data/1018724/000101872426000014/amzn-20260331.htm
Evidence: SEC XBRL PaymentsToAcquireProductiveAssets was $44.203B. Amazon's narrative cash-capex measure was $43.2B; this model uses the standardized XBRL series consistently across quarters.
Local source: 01_sources/company_filings/amazon/Amazon_2026-04-30_10-Q_amzn-20260331.htm
Classification: public filing / official company disclosure unless stated otherwise.</t>
        </r>
      </text>
    </comment>
    <comment ref="J18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AMZN Q1 26 — Long-term customer commitments, primarily AWS
Value: $364.000B
Public source: https://www.sec.gov/Archives/edgar/data/1018724/000101872426000014/amzn-20260331.htm
Evidence: Long-term customer commitments, primarily AWS, were approximately $364B as of March 31, 2026—not $464B as shown in the supplied snapshot. Weighted-average remaining life was 5.5 years.
Local source: 01_sources/company_filings/amazon/Amazon_2026-04-30_10-Q_amzn-20260331.htm
Classification: public filing / official company disclosure unless stated otherwise.</t>
        </r>
      </text>
    </comment>
    <comment ref="K18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AMZN Q1 26 — quarterly capex
Value: $44.203B
Public source: https://www.sec.gov/Archives/edgar/data/1018724/000101872426000014/amzn-20260331.htm
Evidence: SEC XBRL PaymentsToAcquireProductiveAssets was $44.203B. Amazon's narrative cash-capex measure was $43.2B; this model uses the standardized XBRL series consistently across quarters.
Local source: 01_sources/company_filings/amazon/Amazon_2026-04-30_10-Q_amzn-20260331.htm
Classification: public filing / official company disclosure unless stated otherwise.</t>
        </r>
      </text>
    </comment>
    <comment ref="F19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AMZN Q2 26 — Long-term customer commitments, primarily AWS
Value: $496.000B
Public source: https://www.sec.gov/Archives/edgar/data/1018724/000101872426000026/amzn-20260630.htm
Evidence: Long-term customer commitments, primarily AWS, were approximately $496B; weighted-average remaining life was 6.4 years. Anthropic's expanded commitment is already included in the total and must not be added separately.
Local source: 01_sources/company_filings/amazon/Amazon_2026-07-31_10-Q_amzn-20260630.htm
Classification: public filing / official company disclosure unless stated otherwise.</t>
        </r>
      </text>
    </comment>
    <comment ref="H19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AMZN Q2 26 — quarterly capex
Value: $54.208B
Public source: https://www.sec.gov/Archives/edgar/data/1018724/000101872426000026/amzn-20260630.htm
Evidence: Gross cash PP&amp;E purchases were $54.208B, also reconciling as $98.411B first half less $44.203B Q1. Amazon's separate net cash-capex measure was $53.076B; the model preserves the gross series.
Local source: 01_sources/company_filings/amazon/Amazon_2026-07-31_10-Q_amzn-20260630.htm
Classification: public filing / official company disclosure unless stated otherwise.</t>
        </r>
      </text>
    </comment>
    <comment ref="J19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AMZN Q2 26 — Long-term customer commitments, primarily AWS
Value: $496.000B
Public source: https://www.sec.gov/Archives/edgar/data/1018724/000101872426000026/amzn-20260630.htm
Evidence: Long-term customer commitments, primarily AWS, were approximately $496B; weighted-average remaining life was 6.4 years. Anthropic's expanded commitment is already included in the total and must not be added separately.
Local source: 01_sources/company_filings/amazon/Amazon_2026-07-31_10-Q_amzn-20260630.htm
Classification: public filing / official company disclosure unless stated otherwise.</t>
        </r>
      </text>
    </comment>
    <comment ref="K19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AMZN Q2 26 — quarterly capex
Value: $54.208B
Public source: https://www.sec.gov/Archives/edgar/data/1018724/000101872426000026/amzn-20260630.htm
Evidence: Gross cash PP&amp;E purchases were $54.208B, also reconciling as $98.411B first half less $44.203B Q1. Amazon's separate net cash-capex measure was $53.076B; the model preserves the gross series.
Local source: 01_sources/company_filings/amazon/Amazon_2026-07-31_10-Q_amzn-20260630.htm
Classification: public filing / official company disclosure unless stated otherwise.</t>
        </r>
      </text>
    </comment>
    <comment ref="F20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ORCL Q2 25 — Remaining performance obligations
Value: $137.800B
Public source: https://www.sec.gov/Archives/edgar/data/1341439/000095017025087926/orcl-20250531.htm
Evidence: Remaining performance obligations were $137.8B as of May 31, 2025.
Classification: public filing / official company disclosure unless stated otherwise.</t>
        </r>
      </text>
    </comment>
    <comment ref="H20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ORCL Q2 25 — quarterly capex
Value: $9.080B
Public source: https://www.sec.gov/Archives/edgar/data/1341439/000095017025087926/orcl-20250531.htm
Evidence: Quarter capex = $21.215B FY2025 less $12.135B first nine months = $9.080B. The $5.0B in the supplied image is not supported by Oracle's cash-flow filings. Nine-month source: https://www.sec.gov/Archives/edgar/data/1341439/000095017025037143/orcl-20250228.htm
Classification: public filing / official company disclosure unless stated otherwise.</t>
        </r>
      </text>
    </comment>
    <comment ref="J20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ORCL Q2 25 — Remaining performance obligations
Value: $137.800B
Public source: https://www.sec.gov/Archives/edgar/data/1341439/000095017025087926/orcl-20250531.htm
Evidence: Remaining performance obligations were $137.8B as of May 31, 2025.
Classification: public filing / official company disclosure unless stated otherwise.</t>
        </r>
      </text>
    </comment>
    <comment ref="K20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ORCL Q2 25 — quarterly capex
Value: $9.080B
Public source: https://www.sec.gov/Archives/edgar/data/1341439/000095017025087926/orcl-20250531.htm
Evidence: Quarter capex = $21.215B FY2025 less $12.135B first nine months = $9.080B. The $5.0B in the supplied image is not supported by Oracle's cash-flow filings. Nine-month source: https://www.sec.gov/Archives/edgar/data/1341439/000095017025037143/orcl-20250228.htm
Classification: public filing / official company disclosure unless stated otherwise.</t>
        </r>
      </text>
    </comment>
    <comment ref="F21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ORCL Q3 25 — Remaining performance obligations
Value: $455.300B
Public source: https://www.sec.gov/Archives/edgar/data/1341439/000119312525200095/orcl-20250831.htm
Evidence: Remaining performance obligations were $455.3B as of August 31, 2025.
Local source: 01_sources/company_filings/oracle/Oracle_2025-09-10_10-Q_orcl-20250831.htm
Classification: public filing / official company disclosure unless stated otherwise.</t>
        </r>
      </text>
    </comment>
    <comment ref="H21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ORCL Q3 25 — quarterly capex
Value: $8.502B
Public source: https://www.sec.gov/Archives/edgar/data/1341439/000119312525200095/orcl-20250831.htm
Evidence: The FY26 Q1 cash-flow statement reports $8.502B of capex.
Local source: 01_sources/company_filings/oracle/Oracle_2025-09-10_10-Q_orcl-20250831.htm
Classification: public filing / official company disclosure unless stated otherwise.</t>
        </r>
      </text>
    </comment>
    <comment ref="J21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ORCL Q3 25 — Remaining performance obligations
Value: $455.300B
Public source: https://www.sec.gov/Archives/edgar/data/1341439/000119312525200095/orcl-20250831.htm
Evidence: Remaining performance obligations were $455.3B as of August 31, 2025.
Local source: 01_sources/company_filings/oracle/Oracle_2025-09-10_10-Q_orcl-20250831.htm
Classification: public filing / official company disclosure unless stated otherwise.</t>
        </r>
      </text>
    </comment>
    <comment ref="K21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ORCL Q3 25 — quarterly capex
Value: $8.502B
Public source: https://www.sec.gov/Archives/edgar/data/1341439/000119312525200095/orcl-20250831.htm
Evidence: The FY26 Q1 cash-flow statement reports $8.502B of capex.
Local source: 01_sources/company_filings/oracle/Oracle_2025-09-10_10-Q_orcl-20250831.htm
Classification: public filing / official company disclosure unless stated otherwise.</t>
        </r>
      </text>
    </comment>
    <comment ref="F22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ORCL Q4 25 — Remaining performance obligations
Value: $523.300B
Public source: https://www.sec.gov/Archives/edgar/data/1341439/000119312525315925/orcl-20251130.htm
Evidence: Remaining performance obligations were $523.3B as of November 30, 2025.
Local source: 01_sources/company_filings/oracle/Oracle_2025-12-11_10-Q_orcl-20251130.htm
Classification: public filing / official company disclosure unless stated otherwise.</t>
        </r>
      </text>
    </comment>
    <comment ref="H22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ORCL Q4 25 — quarterly capex
Value: $12.033B
Public source: https://www.sec.gov/Archives/edgar/data/1341439/000119312525315925/orcl-20251130.htm
Evidence: Quarter capex = $20.535B first half less $8.502B Q1 = $12.033B.
Local source: 01_sources/company_filings/oracle/Oracle_2025-12-11_10-Q_orcl-20251130.htm
Classification: public filing / official company disclosure unless stated otherwise.</t>
        </r>
      </text>
    </comment>
    <comment ref="J22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ORCL Q4 25 — Remaining performance obligations
Value: $523.300B
Public source: https://www.sec.gov/Archives/edgar/data/1341439/000119312525315925/orcl-20251130.htm
Evidence: Remaining performance obligations were $523.3B as of November 30, 2025.
Local source: 01_sources/company_filings/oracle/Oracle_2025-12-11_10-Q_orcl-20251130.htm
Classification: public filing / official company disclosure unless stated otherwise.</t>
        </r>
      </text>
    </comment>
    <comment ref="K22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ORCL Q4 25 — quarterly capex
Value: $12.033B
Public source: https://www.sec.gov/Archives/edgar/data/1341439/000119312525315925/orcl-20251130.htm
Evidence: Quarter capex = $20.535B first half less $8.502B Q1 = $12.033B.
Local source: 01_sources/company_filings/oracle/Oracle_2025-12-11_10-Q_orcl-20251130.htm
Classification: public filing / official company disclosure unless stated otherwise.</t>
        </r>
      </text>
    </comment>
    <comment ref="F23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ORCL Q1 26 — Remaining performance obligations
Value: $552.600B
Public source: https://www.sec.gov/Archives/edgar/data/1341439/000119312526101045/orcl-20260228.htm
Evidence: Remaining performance obligations were $552.6B as of February 28, 2026.
Local source: 01_sources/company_filings/oracle/Oracle_2026-03-11_10-Q_orcl-20260228.htm
Classification: public filing / official company disclosure unless stated otherwise.</t>
        </r>
      </text>
    </comment>
    <comment ref="H23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ORCL Q1 26 — quarterly capex
Value: $18.635B
Public source: https://www.sec.gov/Archives/edgar/data/1341439/000119312526101045/orcl-20260228.htm
Evidence: Quarter capex = $39.170B first nine months less $20.535B first half = $18.635B.
Local source: 01_sources/company_filings/oracle/Oracle_2026-03-11_10-Q_orcl-20260228.htm
Classification: public filing / official company disclosure unless stated otherwise.</t>
        </r>
      </text>
    </comment>
    <comment ref="J23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ORCL Q1 26 — Remaining performance obligations
Value: $552.600B
Public source: https://www.sec.gov/Archives/edgar/data/1341439/000119312526101045/orcl-20260228.htm
Evidence: Remaining performance obligations were $552.6B as of February 28, 2026.
Local source: 01_sources/company_filings/oracle/Oracle_2026-03-11_10-Q_orcl-20260228.htm
Classification: public filing / official company disclosure unless stated otherwise.</t>
        </r>
      </text>
    </comment>
    <comment ref="K23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ORCL Q1 26 — quarterly capex
Value: $18.635B
Public source: https://www.sec.gov/Archives/edgar/data/1341439/000119312526101045/orcl-20260228.htm
Evidence: Quarter capex = $39.170B first nine months less $20.535B first half = $18.635B.
Local source: 01_sources/company_filings/oracle/Oracle_2026-03-11_10-Q_orcl-20260228.htm
Classification: public filing / official company disclosure unless stated otherwise.</t>
        </r>
      </text>
    </comment>
    <comment ref="F24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ORCL Q2 26 — Remaining performance obligations
Value: $638.000B
Public source: https://www.sec.gov/Archives/edgar/data/1341439/000119312526277521/orcl-20260531.htm
Evidence: Remaining performance obligations were $638B at May 31, 2026, up $85B sequentially. Oracle's filed release says most Q3/Q4 RPO growth came from large AI contracts and $75B of prepaid or customer-supplied hardware reduces Oracle's own capital requirement.
Local source: 01_sources/company_filings/oracle/Oracle_2026-06-22_10-K_orcl-20260531.htm
Classification: public filing / official company disclosure unless stated otherwise.</t>
        </r>
      </text>
    </comment>
    <comment ref="H24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ORCL Q2 26 — quarterly capex
Value: $16.493B
Public source: https://www.sec.gov/Archives/edgar/data/1341439/000119312526277521/orcl-20260531.htm
Evidence: Quarter capex = $55.663B FY2026 cash capex less $39.170B first nine months = $16.493B.
Local source: 01_sources/company_filings/oracle/Oracle_2026-06-22_10-K_orcl-20260531.htm
Classification: public filing / official company disclosure unless stated otherwise.</t>
        </r>
      </text>
    </comment>
    <comment ref="J24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ORCL Q2 26 — Remaining performance obligations
Value: $638.000B
Public source: https://www.sec.gov/Archives/edgar/data/1341439/000119312526277521/orcl-20260531.htm
Evidence: Remaining performance obligations were $638B at May 31, 2026, up $85B sequentially. Oracle's filed release says most Q3/Q4 RPO growth came from large AI contracts and $75B of prepaid or customer-supplied hardware reduces Oracle's own capital requirement.
Local source: 01_sources/company_filings/oracle/Oracle_2026-06-22_10-K_orcl-20260531.htm
Classification: public filing / official company disclosure unless stated otherwise.</t>
        </r>
      </text>
    </comment>
    <comment ref="K24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ORCL Q2 26 — quarterly capex
Value: $16.493B
Public source: https://www.sec.gov/Archives/edgar/data/1341439/000119312526277521/orcl-20260531.htm
Evidence: Quarter capex = $55.663B FY2026 cash capex less $39.170B first nine months = $16.493B.
Local source: 01_sources/company_filings/oracle/Oracle_2026-06-22_10-K_orcl-20260531.htm
Classification: public filing / official company disclosure unless stated otherwise.</t>
        </r>
      </text>
    </comment>
    <comment ref="F25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META Q2 25 — Quarterly revenue
Value: $47.516B
Public source: https://www.sec.gov/Archives/edgar/data/1326801/000162828025036791/meta-20250630.htm
Evidence: Q2 2025 revenue was $47.516B.
Classification: public filing / official company disclosure unless stated otherwise.</t>
        </r>
      </text>
    </comment>
    <comment ref="H25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META Q2 25 — quarterly capex
Value: $17.012B
Public source: https://www.sec.gov/Archives/edgar/data/1326801/000162828025036791/meta-20250630.htm
Evidence: Company-defined capex including finance-lease principal was $17.012B (reported as $17.01B).
Classification: public filing / official company disclosure unless stated otherwise.</t>
        </r>
      </text>
    </comment>
    <comment ref="J25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META Q2 25 — Quarterly revenue
Value: $47.516B
Public source: https://www.sec.gov/Archives/edgar/data/1326801/000162828025036791/meta-20250630.htm
Evidence: Q2 2025 revenue was $47.516B.
Classification: public filing / official company disclosure unless stated otherwise.</t>
        </r>
      </text>
    </comment>
    <comment ref="K25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META Q2 25 — quarterly capex
Value: $17.012B
Public source: https://www.sec.gov/Archives/edgar/data/1326801/000162828025036791/meta-20250630.htm
Evidence: Company-defined capex including finance-lease principal was $17.012B (reported as $17.01B).
Classification: public filing / official company disclosure unless stated otherwise.</t>
        </r>
      </text>
    </comment>
    <comment ref="F26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META Q3 25 — Quarterly revenue
Value: $51.242B
Public source: https://www.sec.gov/Archives/edgar/data/1326801/000162828025047240/meta-20250930.htm
Evidence: Q3 2025 revenue was $51.242B.
Local source: 01_sources/company_filings/meta/Meta_2025-10-30_10-Q_meta-20250930.htm
Classification: public filing / official company disclosure unless stated otherwise.</t>
        </r>
      </text>
    </comment>
    <comment ref="H26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META Q3 25 — quarterly capex
Value: $19.374B
Public source: https://www.sec.gov/Archives/edgar/data/1326801/000162828025047240/meta-20250930.htm
Evidence: Company-defined capex including finance-lease principal was $19.374B (reported as $19.37B).
Local source: 01_sources/company_filings/meta/Meta_2025-10-30_10-Q_meta-20250930.htm
Classification: public filing / official company disclosure unless stated otherwise.</t>
        </r>
      </text>
    </comment>
    <comment ref="J26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META Q3 25 — Quarterly revenue
Value: $51.242B
Public source: https://www.sec.gov/Archives/edgar/data/1326801/000162828025047240/meta-20250930.htm
Evidence: Q3 2025 revenue was $51.242B.
Local source: 01_sources/company_filings/meta/Meta_2025-10-30_10-Q_meta-20250930.htm
Classification: public filing / official company disclosure unless stated otherwise.</t>
        </r>
      </text>
    </comment>
    <comment ref="K26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META Q3 25 — quarterly capex
Value: $19.374B
Public source: https://www.sec.gov/Archives/edgar/data/1326801/000162828025047240/meta-20250930.htm
Evidence: Company-defined capex including finance-lease principal was $19.374B (reported as $19.37B).
Local source: 01_sources/company_filings/meta/Meta_2025-10-30_10-Q_meta-20250930.htm
Classification: public filing / official company disclosure unless stated otherwise.</t>
        </r>
      </text>
    </comment>
    <comment ref="F27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META Q4 25 — Quarterly revenue
Value: $59.893B
Public source: https://www.sec.gov/Archives/edgar/data/1326801/000162828026003942/meta-20251231.htm
Evidence: Q4 2025 revenue = $200.966B FY2025 less $141.073B first nine months = $59.893B.
Local source: 01_sources/company_filings/meta/Meta_2026-01-29_10-K_meta-20251231.htm
Classification: public filing / official company disclosure unless stated otherwise.</t>
        </r>
      </text>
    </comment>
    <comment ref="H27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META Q4 25 — quarterly capex
Value: $22.137B
Public source: https://www.sec.gov/Archives/edgar/data/1326801/000162828026003942/meta-20251231.htm
Evidence: Company-defined capex including finance-lease principal was $22.137B (reported as $22.14B).
Local source: 01_sources/company_filings/meta/Meta_2026-01-29_10-K_meta-20251231.htm
Classification: public filing / official company disclosure unless stated otherwise.</t>
        </r>
      </text>
    </comment>
    <comment ref="J27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META Q4 25 — Quarterly revenue
Value: $59.893B
Public source: https://www.sec.gov/Archives/edgar/data/1326801/000162828026003942/meta-20251231.htm
Evidence: Q4 2025 revenue = $200.966B FY2025 less $141.073B first nine months = $59.893B.
Local source: 01_sources/company_filings/meta/Meta_2026-01-29_10-K_meta-20251231.htm
Classification: public filing / official company disclosure unless stated otherwise.</t>
        </r>
      </text>
    </comment>
    <comment ref="K27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META Q4 25 — quarterly capex
Value: $22.137B
Public source: https://www.sec.gov/Archives/edgar/data/1326801/000162828026003942/meta-20251231.htm
Evidence: Company-defined capex including finance-lease principal was $22.137B (reported as $22.14B).
Local source: 01_sources/company_filings/meta/Meta_2026-01-29_10-K_meta-20251231.htm
Classification: public filing / official company disclosure unless stated otherwise.</t>
        </r>
      </text>
    </comment>
    <comment ref="F28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META Q1 26 — Quarterly revenue
Value: $56.311B
Public source: https://www.sec.gov/Archives/edgar/data/1326801/000162828026028526/meta-20260331.htm
Evidence: Q1 2026 revenue was $56.311B. The $240B annualized revenue in the supplied snapshot is based on roughly $60B and does not match the Q1 filing; filing-based annualized revenue is $225.244B.
Local source: 01_sources/company_filings/meta/Meta_2026-04-30_10-Q_meta-20260331.htm
Classification: public filing / official company disclosure unless stated otherwise.</t>
        </r>
      </text>
    </comment>
    <comment ref="H28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META Q1 26 — quarterly capex
Value: $19.840B
Public source: https://www.sec.gov/Archives/edgar/data/1326801/000162828026028526/meta-20260331.htm
Evidence: Company-defined capex was $19.840B: $18.997B cash PP&amp;E purchases plus $0.843B finance-lease principal.
Local source: 01_sources/company_filings/meta/Meta_2026-04-30_10-Q_meta-20260331.htm
Classification: public filing / official company disclosure unless stated otherwise.</t>
        </r>
      </text>
    </comment>
    <comment ref="J28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META Q1 26 — Quarterly revenue
Value: $56.311B
Public source: https://www.sec.gov/Archives/edgar/data/1326801/000162828026028526/meta-20260331.htm
Evidence: Q1 2026 revenue was $56.311B. The $240B annualized revenue in the supplied snapshot is based on roughly $60B and does not match the Q1 filing; filing-based annualized revenue is $225.244B.
Local source: 01_sources/company_filings/meta/Meta_2026-04-30_10-Q_meta-20260331.htm
Classification: public filing / official company disclosure unless stated otherwise.</t>
        </r>
      </text>
    </comment>
    <comment ref="K28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META Q1 26 — quarterly capex
Value: $19.840B
Public source: https://www.sec.gov/Archives/edgar/data/1326801/000162828026028526/meta-20260331.htm
Evidence: Company-defined capex was $19.840B: $18.997B cash PP&amp;E purchases plus $0.843B finance-lease principal.
Local source: 01_sources/company_filings/meta/Meta_2026-04-30_10-Q_meta-20260331.htm
Classification: public filing / official company disclosure unless stated otherwise.</t>
        </r>
      </text>
    </comment>
    <comment ref="F29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META Q2 26 — Quarterly revenue
Value: $60.801B
Public source: https://www.sec.gov/Archives/edgar/data/1326801/000162828026050705/meta-20260630.htm
Evidence: Q2 2026 total company revenue was $60.801B; Meta does not disclose standalone AI revenue.
Local source: 01_sources/company_filings/meta/Meta_2026-07-30_10-Q_meta-20260630.htm
Classification: public filing / official company disclosure unless stated otherwise.</t>
        </r>
      </text>
    </comment>
    <comment ref="H29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META Q2 26 — quarterly capex
Value: $31.078B
Public source: https://www.sec.gov/Archives/edgar/data/1326801/000162828026050705/meta-20260630.htm
Evidence: Company-defined capex was $31.078B: $30.116B Q2 cash PP&amp;E purchases plus $0.962B finance-lease principal, reported as $31.08B.
Local source: 01_sources/company_filings/meta/Meta_2026-07-30_10-Q_meta-20260630.htm
Classification: public filing / official company disclosure unless stated otherwise.</t>
        </r>
      </text>
    </comment>
    <comment ref="J29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META Q2 26 — Quarterly revenue
Value: $60.801B
Public source: https://www.sec.gov/Archives/edgar/data/1326801/000162828026050705/meta-20260630.htm
Evidence: Q2 2026 total company revenue was $60.801B; Meta does not disclose standalone AI revenue.
Local source: 01_sources/company_filings/meta/Meta_2026-07-30_10-Q_meta-20260630.htm
Classification: public filing / official company disclosure unless stated otherwise.</t>
        </r>
      </text>
    </comment>
    <comment ref="K29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META Q2 26 — quarterly capex
Value: $31.078B
Public source: https://www.sec.gov/Archives/edgar/data/1326801/000162828026050705/meta-20260630.htm
Evidence: Company-defined capex was $31.078B: $30.116B Q2 cash PP&amp;E purchases plus $0.962B finance-lease principal, reported as $31.08B.
Local source: 01_sources/company_filings/meta/Meta_2026-07-30_10-Q_meta-20260630.htm
Classification: public filing / official company disclosure unless stated otherwise.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H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MSFT-Q225-FACT
Value: 368.0
Public source: https://www.sec.gov/Archives/edgar/data/789019/000095017025100235/msft-20250630.htm
Evidence: Commercial RPO increased to $368B at June 30, 2025.
Classification: public filing / official company disclosure unless stated otherwise.</t>
        </r>
      </text>
    </comment>
    <comment ref="H6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MSFT-Q225-CAPEX
Value: 24.2
Public source: https://www.microsoft.com/en-us/Investor/earnings/FY-2025-Q4/press-release-webcast
Evidence: Official FY25 Q4 transcript: capital expenditures were $24.2B, including finance leases.
Classification: public filing / official company disclosure unless stated otherwise.</t>
        </r>
      </text>
    </comment>
    <comment ref="H7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MSFT-Q325-FACT
Value: 392.0
Public source: https://www.sec.gov/Archives/edgar/data/789019/000119312525256321/msft-20250930.htm
Evidence: The 10-Q reports $398B total RPO, of which $392B is commercial RPO.
Local source: 01_sources/company_filings/microsoft/Microsoft_2025-10-29_10-Q_msft-20250930.htm
Classification: public filing / official company disclosure unless stated otherwise.</t>
        </r>
      </text>
    </comment>
    <comment ref="H8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MSFT-Q325-CAPEX
Value: 34.9
Public source: https://www.microsoft.com/en-us/Investor/earnings/FY-2026-Q1/press-release-webcast
Evidence: Official FY26 Q1 transcript: capital expenditures were $34.9B.
Local source: 01_sources/company_filings/microsoft/Microsoft_2025-10-29_10-Q_msft-20250930.htm
Classification: public filing / official company disclosure unless stated otherwise.</t>
        </r>
      </text>
    </comment>
    <comment ref="H9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MSFT-Q425-FACT
Value: 625.0
Public source: https://www.sec.gov/Archives/edgar/data/789019/000119312526027207/msft-20251231.htm
Evidence: Commercial RPO was $625B with a weighted-average duration of approximately 2.5 years.
Local source: 01_sources/company_filings/microsoft/Microsoft_2026-01-28_10-Q_msft-20251231.htm
Classification: public filing / official company disclosure unless stated otherwise.</t>
        </r>
      </text>
    </comment>
    <comment ref="H10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MSFT-Q425-CAPEX
Value: 37.5
Public source: https://www.microsoft.com/en-us/Investor/earnings/FY-2026-Q2/press-release-webcast
Evidence: Official FY26 Q2 transcript: capital expenditures were $37.5B.
Local source: 01_sources/company_filings/microsoft/Microsoft_2026-01-28_10-Q_msft-20251231.htm
Classification: public filing / official company disclosure unless stated otherwise.</t>
        </r>
      </text>
    </comment>
    <comment ref="H1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MSFT-Q126-FACT
Value: 627.0
Public source: https://www.sec.gov/Archives/edgar/data/789019/000119312526191507/msft-20260331.htm
Evidence: Commercial RPO was $627B with a weighted-average duration of approximately 2.5 years.
Local source: 01_sources/company_filings/microsoft/Microsoft_2026-04-29_10-Q_msft-20260331.htm
Classification: public filing / official company disclosure unless stated otherwise.</t>
        </r>
      </text>
    </comment>
    <comment ref="H12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MSFT-Q126-CAPEX
Value: 31.9
Public source: https://www.microsoft.com/en-us/Investor/earnings/FY-2026-Q3/press-release-webcast
Evidence: Official FY26 Q3 transcript: capital expenditures were $31.9B; cash paid for PP&amp;E was $30.9B.
Local source: 01_sources/company_filings/microsoft/Microsoft_2026-04-29_10-Q_msft-20260331.htm
Classification: public filing / official company disclosure unless stated otherwise.</t>
        </r>
      </text>
    </comment>
    <comment ref="H13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MSFT-Q226-FACT
Value: 678.0
Public source: https://www.sec.gov/Archives/edgar/data/789019/000119312526323660/msft-20260630.htm
Evidence: Commercial remaining performance obligation was $678B; total company RPO was $684B. Weighted-average commercial-RPO duration including OpenAI was 2.3 years.
Local source: 01_sources/company_filings/microsoft/Microsoft_2026-07-29_10-K_msft-20260630.htm
Classification: public filing / official company disclosure unless stated otherwise.</t>
        </r>
      </text>
    </comment>
    <comment ref="H14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MSFT-Q226-CAPEX
Value: 41.0
Public source: https://www.microsoft.com/en-us/investor/events/fy-2026/earnings-fy-2026-q4
Evidence: Official FY26 Q4 call reports management capex of $41.0B, including $5.6B of finance leases; cash paid for PP&amp;E was $35.8B. The trajectory preserves Microsoft's management capex series.
Local source: 01_sources/company_filings/microsoft/Microsoft_2026-07-29_10-K_msft-20260630.htm
Classification: public filing / official company disclosure unless stated otherwise.</t>
        </r>
      </text>
    </comment>
    <comment ref="H15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MSFT-PLAN
Value: 175.0
Public source: https://www.microsoft.com/en-us/investor/events/fy-2026/earnings-fy-2026-q4
Evidence: Microsoft reduced reported CY2026 capex expectation to approximately $175B from roughly $190B because longer datacenter useful lives shift future leases from finance leases included in its capex metric to operating leases excluded from it. Management said underlying investment expectations were unchanged; the lower denominator is a classification effect.
Classification: public filing / official company disclosure unless stated otherwise.</t>
        </r>
      </text>
    </comment>
    <comment ref="H16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MSFT-WACC
Value: 0.0934
Public source: https://pages.stern.nyu.edu/~adamodar/New_Home_Page/datafile/wacc.html
Evidence: January 2026 cost of capital for Software (System &amp; Application), January 2026 U.S. industry average
Classification: public filing / official company disclosure unless stated otherwise.</t>
        </r>
      </text>
    </comment>
    <comment ref="H17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GOOG-Q225-FACT
Value: 108.2
Public source: https://www.sec.gov/Archives/edgar/data/1652044/000165204425000062/goog-20250630.htm
Evidence: Revenue backlog/RPO was $108.2B as of June 30, 2025.
Classification: public filing / official company disclosure unless stated otherwise.</t>
        </r>
      </text>
    </comment>
    <comment ref="H18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GOOG-Q225-CAPEX
Value: 22.446
Public source: https://www.sec.gov/Archives/edgar/data/1652044/000165204425000062/goog-20250630.htm
Evidence: Quarter capex = $39.643B first-half cash PP&amp;E purchases less $17.197B Q1 = $22.446B.
Classification: public filing / official company disclosure unless stated otherwise.</t>
        </r>
      </text>
    </comment>
    <comment ref="H19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GOOG-Q325-FACT
Value: 157.7
Public source: https://www.sec.gov/Archives/edgar/data/1652044/000165204425000091/goog-20250930.htm
Evidence: Revenue backlog/RPO was $157.7B as of September 30, 2025, primarily related to Google Cloud.
Local source: 01_sources/company_filings/alphabet/Alphabet_2025-10-30_10-Q_goog-20250930.htm
Classification: public filing / official company disclosure unless stated otherwise.</t>
        </r>
      </text>
    </comment>
    <comment ref="H20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GOOG-Q325-CAPEX
Value: 23.953
Public source: https://www.sec.gov/Archives/edgar/data/1652044/000165204425000091/goog-20250930.htm
Evidence: Quarter capex = $63.596B nine-month cash PP&amp;E purchases less $39.643B first half = $23.953B.
Local source: 01_sources/company_filings/alphabet/Alphabet_2025-10-30_10-Q_goog-20250930.htm
Classification: public filing / official company disclosure unless stated otherwise.</t>
        </r>
      </text>
    </comment>
    <comment ref="H21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GOOG-Q425-FACT
Value: 242.8
Public source: https://www.sec.gov/Archives/edgar/data/1652044/000165204426000018/goog-20251231.htm
Evidence: Revenue backlog/RPO was $242.8B as of December 31, 2025, primarily related to Google Cloud.
Local source: 01_sources/company_filings/alphabet/Alphabet_2026-02-05_10-K_goog-20251231.htm
Classification: public filing / official company disclosure unless stated otherwise.</t>
        </r>
      </text>
    </comment>
    <comment ref="H22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GOOG-Q425-CAPEX
Value: 27.851
Public source: https://www.sec.gov/Archives/edgar/data/1652044/000165204426000018/goog-20251231.htm
Evidence: Quarter capex = $91.447B FY2025 cash PP&amp;E purchases less $63.596B first nine months = $27.851B.
Local source: 01_sources/company_filings/alphabet/Alphabet_2026-02-05_10-K_goog-20251231.htm
Classification: public filing / official company disclosure unless stated otherwise.</t>
        </r>
      </text>
    </comment>
    <comment ref="H23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GOOG-Q126-FACT
Value: 467.6
Public source: https://www.sec.gov/Archives/edgar/data/1652044/000165204426000048/goog-20260331.htm
Evidence: Revenue backlog/RPO was $467.6B; $462.3B related to Google Cloud. Alphabet changed the definition in Q1 2026 to include original terms of one year or less ($7.3B), so the series has a comparability break.
Local source: 01_sources/company_filings/alphabet/Alphabet_2026-04-30_10-Q_goog-20260331.htm
Classification: public filing / official company disclosure unless stated otherwise.</t>
        </r>
      </text>
    </comment>
    <comment ref="H24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GOOG-Q126-CAPEX
Value: 35.674
Public source: https://www.sec.gov/Archives/edgar/data/1652044/000165204426000048/goog-20260331.htm
Evidence: The Q1 2026 10-Q reports $35.674B of cash purchases of property and equipment.
Local source: 01_sources/company_filings/alphabet/Alphabet_2026-04-30_10-Q_goog-20260331.htm
Classification: public filing / official company disclosure unless stated otherwise.</t>
        </r>
      </text>
    </comment>
    <comment ref="H25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GOOG-Q226-FACT
Value: 519.5
Public source: https://www.sec.gov/Archives/edgar/data/1652044/000165204426000071/goog-20260630.htm
Evidence: Revenue backlog/RPO was $519.5B, including $513.9B related to Google Cloud. The Q1 2026 short-term-contract definition change remains in effect, and Cloud backlog now includes TPU system-sale agreements; the vast majority remains GCP agreements.
Local source: 01_sources/company_filings/alphabet/Alphabet_2026-07-23_10-Q_goog-20260630.htm
Classification: public filing / official company disclosure unless stated otherwise.</t>
        </r>
      </text>
    </comment>
    <comment ref="H26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GOOG-Q226-CAPEX
Value: 44.924
Public source: https://www.sec.gov/Archives/edgar/data/1652044/000165204426000071/goog-20260630.htm
Evidence: The Q2 2026 10-Q reports exact cash purchases of PP&amp;E of $44.924B; narrative disclosure rounds to $44.9B.
Local source: 01_sources/company_filings/alphabet/Alphabet_2026-07-23_10-Q_goog-20260630.htm
Classification: public filing / official company disclosure unless stated otherwise.</t>
        </r>
      </text>
    </comment>
    <comment ref="H27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GOOG-PLAN
Value: 200.0
Public source: https://abc.xyz/investor/events/event-details/2026/2026-Q2-Earnings-Call-2026-GgTAq7Is0z/default.aspx
Evidence: Alphabet's official Q2 2026 call raised its 2026 capex range to $195B-$205B from $180B-$190B. $200B is the model midpoint, not company point guidance.
Classification: public filing / official company disclosure unless stated otherwise.</t>
        </r>
      </text>
    </comment>
    <comment ref="H28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GOOG-WACC
Value: 0.1066
Public source: https://pages.stern.nyu.edu/~adamodar/New_Home_Page/datafile/wacc.html
Evidence: January 2026 cost of capital for Software (Internet), January 2026 U.S. industry average
Classification: public filing / official company disclosure unless stated otherwise.</t>
        </r>
      </text>
    </comment>
    <comment ref="H29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AMZN-Q225-FACT
Value: 195.0
Public source: https://www.sec.gov/Archives/edgar/data/1018724/000101872425000086/amzn-20250630.htm
Evidence: Long-term customer commitments, primarily AWS, were approximately $195B as of June 30, 2025.
Classification: public filing / official company disclosure unless stated otherwise.</t>
        </r>
      </text>
    </comment>
    <comment ref="H30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AMZN-Q225-CAPEX
Value: 32.183
Public source: https://www.sec.gov/Archives/edgar/data/1018724/000101872425000086/amzn-20250630.htm
Evidence: SEC XBRL PaymentsToAcquireProductiveAssets for Q2 2025 was $32.183B.
Classification: public filing / official company disclosure unless stated otherwise.</t>
        </r>
      </text>
    </comment>
    <comment ref="H31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AMZN-Q325-FACT
Value: 200.0
Public source: https://www.sec.gov/Archives/edgar/data/1018724/000101872425000123/amzn-20250930.htm
Evidence: Long-term customer commitments, primarily AWS, were approximately $200B; weighted-average remaining life was 3.8 years.
Local source: 01_sources/company_filings/amazon/Amazon_2025-10-31_10-Q_amzn-20250930.htm
Classification: public filing / official company disclosure unless stated otherwise.</t>
        </r>
      </text>
    </comment>
    <comment ref="H32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AMZN-Q325-CAPEX
Value: 35.095
Public source: https://www.sec.gov/Archives/edgar/data/1018724/000101872425000123/amzn-20250930.htm
Evidence: SEC XBRL PaymentsToAcquireProductiveAssets for Q3 2025 was $35.095B.
Local source: 01_sources/company_filings/amazon/Amazon_2025-10-31_10-Q_amzn-20250930.htm
Classification: public filing / official company disclosure unless stated otherwise.</t>
        </r>
      </text>
    </comment>
    <comment ref="H33" authorId="0" shapeId="0" xr:uid="{00000000-0006-0000-0300-00001D000000}">
      <text>
        <r>
          <rPr>
            <sz val="11"/>
            <color theme="1"/>
            <rFont val="Calibri"/>
            <family val="2"/>
            <scheme val="minor"/>
          </rPr>
          <t>AMZN-Q425-FACT
Value: 244.0
Public source: https://www.sec.gov/Archives/edgar/data/1018724/000101872426000004/amzn-20251231.htm
Evidence: Long-term customer commitments, primarily AWS, were approximately $244B as of December 31, 2025.
Local source: 01_sources/company_filings/amazon/Amazon_2026-02-06_10-K_amzn-20251231.htm
Classification: public filing / official company disclosure unless stated otherwise.</t>
        </r>
      </text>
    </comment>
    <comment ref="H34" authorId="0" shapeId="0" xr:uid="{00000000-0006-0000-0300-00001E000000}">
      <text>
        <r>
          <rPr>
            <sz val="11"/>
            <color theme="1"/>
            <rFont val="Calibri"/>
            <family val="2"/>
            <scheme val="minor"/>
          </rPr>
          <t>AMZN-Q425-CAPEX
Value: 39.522
Public source: https://www.sec.gov/Archives/edgar/data/1018724/000101872426000004/amzn-20251231.htm
Evidence: Quarter capex = $131.819B FY2025 less $92.297B first nine months = $39.522B.
Local source: 01_sources/company_filings/amazon/Amazon_2026-02-06_10-K_amzn-20251231.htm
Classification: public filing / official company disclosure unless stated otherwise.</t>
        </r>
      </text>
    </comment>
    <comment ref="H35" authorId="0" shapeId="0" xr:uid="{00000000-0006-0000-0300-00001F000000}">
      <text>
        <r>
          <rPr>
            <sz val="11"/>
            <color theme="1"/>
            <rFont val="Calibri"/>
            <family val="2"/>
            <scheme val="minor"/>
          </rPr>
          <t>AMZN-Q126-FACT
Value: 364.0
Public source: https://www.sec.gov/Archives/edgar/data/1018724/000101872426000014/amzn-20260331.htm
Evidence: Long-term customer commitments, primarily AWS, were approximately $364B as of March 31, 2026—not $464B as shown in the supplied snapshot. Weighted-average remaining life was 5.5 years.
Local source: 01_sources/company_filings/amazon/Amazon_2026-04-30_10-Q_amzn-20260331.htm
Classification: public filing / official company disclosure unless stated otherwise.</t>
        </r>
      </text>
    </comment>
    <comment ref="H36" authorId="0" shapeId="0" xr:uid="{00000000-0006-0000-0300-000020000000}">
      <text>
        <r>
          <rPr>
            <sz val="11"/>
            <color theme="1"/>
            <rFont val="Calibri"/>
            <family val="2"/>
            <scheme val="minor"/>
          </rPr>
          <t>AMZN-Q126-CAPEX
Value: 44.203
Public source: https://www.sec.gov/Archives/edgar/data/1018724/000101872426000014/amzn-20260331.htm
Evidence: SEC XBRL PaymentsToAcquireProductiveAssets was $44.203B. Amazon's narrative cash-capex measure was $43.2B; this model uses the standardized XBRL series consistently across quarters.
Local source: 01_sources/company_filings/amazon/Amazon_2026-04-30_10-Q_amzn-20260331.htm
Classification: public filing / official company disclosure unless stated otherwise.</t>
        </r>
      </text>
    </comment>
    <comment ref="H37" authorId="0" shapeId="0" xr:uid="{00000000-0006-0000-0300-000021000000}">
      <text>
        <r>
          <rPr>
            <sz val="11"/>
            <color theme="1"/>
            <rFont val="Calibri"/>
            <family val="2"/>
            <scheme val="minor"/>
          </rPr>
          <t>AMZN-Q226-FACT
Value: 496.0
Public source: https://www.sec.gov/Archives/edgar/data/1018724/000101872426000026/amzn-20260630.htm
Evidence: Long-term customer commitments, primarily AWS, were approximately $496B; weighted-average remaining life was 6.4 years. Anthropic's expanded commitment is already included in the total and must not be added separately.
Local source: 01_sources/company_filings/amazon/Amazon_2026-07-31_10-Q_amzn-20260630.htm
Classification: public filing / official company disclosure unless stated otherwise.</t>
        </r>
      </text>
    </comment>
    <comment ref="H38" authorId="0" shapeId="0" xr:uid="{00000000-0006-0000-0300-000022000000}">
      <text>
        <r>
          <rPr>
            <sz val="11"/>
            <color theme="1"/>
            <rFont val="Calibri"/>
            <family val="2"/>
            <scheme val="minor"/>
          </rPr>
          <t>AMZN-Q226-CAPEX
Value: 54.208
Public source: https://www.sec.gov/Archives/edgar/data/1018724/000101872426000026/amzn-20260630.htm
Evidence: Gross cash PP&amp;E purchases were $54.208B, also reconciling as $98.411B first half less $44.203B Q1. Amazon's separate net cash-capex measure was $53.076B; the model preserves the gross series.
Local source: 01_sources/company_filings/amazon/Amazon_2026-07-31_10-Q_amzn-20260630.htm
Classification: public filing / official company disclosure unless stated otherwise.</t>
        </r>
      </text>
    </comment>
    <comment ref="H39" authorId="0" shapeId="0" xr:uid="{00000000-0006-0000-0300-000023000000}">
      <text>
        <r>
          <rPr>
            <sz val="11"/>
            <color theme="1"/>
            <rFont val="Calibri"/>
            <family val="2"/>
            <scheme val="minor"/>
          </rPr>
          <t>AMZN-PLAN
Value: 200.0
Public source: https://www.sec.gov/Archives/edgar/data/1018724/000101872426000002/amzn-20251231xex991.htm
Evidence: Amazon's SEC-filed Q4 2025 release said it expected about $200B of 2026 capex. The Q2 2026 10-Q and filed release did not provide a replacement numeric full-year plan.
Classification: public filing / official company disclosure unless stated otherwise.</t>
        </r>
      </text>
    </comment>
    <comment ref="H40" authorId="0" shapeId="0" xr:uid="{00000000-0006-0000-0300-000024000000}">
      <text>
        <r>
          <rPr>
            <sz val="11"/>
            <color theme="1"/>
            <rFont val="Calibri"/>
            <family val="2"/>
            <scheme val="minor"/>
          </rPr>
          <t>AMZN-WACC
Value: 0.0727
Public source: https://pages.stern.nyu.edu/~adamodar/New_Home_Page/datafile/wacc.html
Evidence: January 2026 cost of capital for Retail (General), January 2026 U.S. industry average
Classification: public filing / official company disclosure unless stated otherwise.</t>
        </r>
      </text>
    </comment>
    <comment ref="H41" authorId="0" shapeId="0" xr:uid="{00000000-0006-0000-0300-000025000000}">
      <text>
        <r>
          <rPr>
            <sz val="11"/>
            <color theme="1"/>
            <rFont val="Calibri"/>
            <family val="2"/>
            <scheme val="minor"/>
          </rPr>
          <t>ORCL-Q225-FACT
Value: 137.8
Public source: https://www.sec.gov/Archives/edgar/data/1341439/000095017025087926/orcl-20250531.htm
Evidence: Remaining performance obligations were $137.8B as of May 31, 2025.
Classification: public filing / official company disclosure unless stated otherwise.</t>
        </r>
      </text>
    </comment>
    <comment ref="H42" authorId="0" shapeId="0" xr:uid="{00000000-0006-0000-0300-000026000000}">
      <text>
        <r>
          <rPr>
            <sz val="11"/>
            <color theme="1"/>
            <rFont val="Calibri"/>
            <family val="2"/>
            <scheme val="minor"/>
          </rPr>
          <t>ORCL-Q225-CAPEX
Value: 9.08
Public source: https://www.sec.gov/Archives/edgar/data/1341439/000095017025087926/orcl-20250531.htm
Evidence: Quarter capex = $21.215B FY2025 less $12.135B first nine months = $9.080B. The $5.0B in the supplied image is not supported by Oracle's cash-flow filings. Nine-month source: https://www.sec.gov/Archives/edgar/data/1341439/000095017025037143/orcl-20250228.htm
Classification: public filing / official company disclosure unless stated otherwise.</t>
        </r>
      </text>
    </comment>
    <comment ref="H43" authorId="0" shapeId="0" xr:uid="{00000000-0006-0000-0300-000027000000}">
      <text>
        <r>
          <rPr>
            <sz val="11"/>
            <color theme="1"/>
            <rFont val="Calibri"/>
            <family val="2"/>
            <scheme val="minor"/>
          </rPr>
          <t>ORCL-Q325-FACT
Value: 455.3
Public source: https://www.sec.gov/Archives/edgar/data/1341439/000119312525200095/orcl-20250831.htm
Evidence: Remaining performance obligations were $455.3B as of August 31, 2025.
Local source: 01_sources/company_filings/oracle/Oracle_2025-09-10_10-Q_orcl-20250831.htm
Classification: public filing / official company disclosure unless stated otherwise.</t>
        </r>
      </text>
    </comment>
    <comment ref="H44" authorId="0" shapeId="0" xr:uid="{00000000-0006-0000-0300-000028000000}">
      <text>
        <r>
          <rPr>
            <sz val="11"/>
            <color theme="1"/>
            <rFont val="Calibri"/>
            <family val="2"/>
            <scheme val="minor"/>
          </rPr>
          <t>ORCL-Q325-CAPEX
Value: 8.502
Public source: https://www.sec.gov/Archives/edgar/data/1341439/000119312525200095/orcl-20250831.htm
Evidence: The FY26 Q1 cash-flow statement reports $8.502B of capex.
Local source: 01_sources/company_filings/oracle/Oracle_2025-09-10_10-Q_orcl-20250831.htm
Classification: public filing / official company disclosure unless stated otherwise.</t>
        </r>
      </text>
    </comment>
    <comment ref="H45" authorId="0" shapeId="0" xr:uid="{00000000-0006-0000-0300-000029000000}">
      <text>
        <r>
          <rPr>
            <sz val="11"/>
            <color theme="1"/>
            <rFont val="Calibri"/>
            <family val="2"/>
            <scheme val="minor"/>
          </rPr>
          <t>ORCL-Q425-FACT
Value: 523.3
Public source: https://www.sec.gov/Archives/edgar/data/1341439/000119312525315925/orcl-20251130.htm
Evidence: Remaining performance obligations were $523.3B as of November 30, 2025.
Local source: 01_sources/company_filings/oracle/Oracle_2025-12-11_10-Q_orcl-20251130.htm
Classification: public filing / official company disclosure unless stated otherwise.</t>
        </r>
      </text>
    </comment>
    <comment ref="H46" authorId="0" shapeId="0" xr:uid="{00000000-0006-0000-0300-00002A000000}">
      <text>
        <r>
          <rPr>
            <sz val="11"/>
            <color theme="1"/>
            <rFont val="Calibri"/>
            <family val="2"/>
            <scheme val="minor"/>
          </rPr>
          <t>ORCL-Q425-CAPEX
Value: 12.033
Public source: https://www.sec.gov/Archives/edgar/data/1341439/000119312525315925/orcl-20251130.htm
Evidence: Quarter capex = $20.535B first half less $8.502B Q1 = $12.033B.
Local source: 01_sources/company_filings/oracle/Oracle_2025-12-11_10-Q_orcl-20251130.htm
Classification: public filing / official company disclosure unless stated otherwise.</t>
        </r>
      </text>
    </comment>
    <comment ref="H47" authorId="0" shapeId="0" xr:uid="{00000000-0006-0000-0300-00002B000000}">
      <text>
        <r>
          <rPr>
            <sz val="11"/>
            <color theme="1"/>
            <rFont val="Calibri"/>
            <family val="2"/>
            <scheme val="minor"/>
          </rPr>
          <t>ORCL-Q126-FACT
Value: 552.6
Public source: https://www.sec.gov/Archives/edgar/data/1341439/000119312526101045/orcl-20260228.htm
Evidence: Remaining performance obligations were $552.6B as of February 28, 2026.
Local source: 01_sources/company_filings/oracle/Oracle_2026-03-11_10-Q_orcl-20260228.htm
Classification: public filing / official company disclosure unless stated otherwise.</t>
        </r>
      </text>
    </comment>
    <comment ref="H48" authorId="0" shapeId="0" xr:uid="{00000000-0006-0000-0300-00002C000000}">
      <text>
        <r>
          <rPr>
            <sz val="11"/>
            <color theme="1"/>
            <rFont val="Calibri"/>
            <family val="2"/>
            <scheme val="minor"/>
          </rPr>
          <t>ORCL-Q126-CAPEX
Value: 18.635
Public source: https://www.sec.gov/Archives/edgar/data/1341439/000119312526101045/orcl-20260228.htm
Evidence: Quarter capex = $39.170B first nine months less $20.535B first half = $18.635B.
Local source: 01_sources/company_filings/oracle/Oracle_2026-03-11_10-Q_orcl-20260228.htm
Classification: public filing / official company disclosure unless stated otherwise.</t>
        </r>
      </text>
    </comment>
    <comment ref="H49" authorId="0" shapeId="0" xr:uid="{00000000-0006-0000-0300-00002D000000}">
      <text>
        <r>
          <rPr>
            <sz val="11"/>
            <color theme="1"/>
            <rFont val="Calibri"/>
            <family val="2"/>
            <scheme val="minor"/>
          </rPr>
          <t>ORCL-Q226-FACT
Value: 638.0
Public source: https://www.sec.gov/Archives/edgar/data/1341439/000119312526277521/orcl-20260531.htm
Evidence: Remaining performance obligations were $638B at May 31, 2026, up $85B sequentially. Oracle's filed release says most Q3/Q4 RPO growth came from large AI contracts and $75B of prepaid or customer-supplied hardware reduces Oracle's own capital requirement.
Local source: 01_sources/company_filings/oracle/Oracle_2026-06-22_10-K_orcl-20260531.htm
Classification: public filing / official company disclosure unless stated otherwise.</t>
        </r>
      </text>
    </comment>
    <comment ref="H50" authorId="0" shapeId="0" xr:uid="{00000000-0006-0000-0300-00002E000000}">
      <text>
        <r>
          <rPr>
            <sz val="11"/>
            <color theme="1"/>
            <rFont val="Calibri"/>
            <family val="2"/>
            <scheme val="minor"/>
          </rPr>
          <t>ORCL-Q226-CAPEX
Value: 16.493
Public source: https://www.sec.gov/Archives/edgar/data/1341439/000119312526277521/orcl-20260531.htm
Evidence: Quarter capex = $55.663B FY2026 cash capex less $39.170B first nine months = $16.493B.
Local source: 01_sources/company_filings/oracle/Oracle_2026-06-22_10-K_orcl-20260531.htm
Classification: public filing / official company disclosure unless stated otherwise.</t>
        </r>
      </text>
    </comment>
    <comment ref="H51" authorId="0" shapeId="0" xr:uid="{00000000-0006-0000-0300-00002F000000}">
      <text>
        <r>
          <rPr>
            <sz val="11"/>
            <color theme="1"/>
            <rFont val="Calibri"/>
            <family val="2"/>
            <scheme val="minor"/>
          </rPr>
          <t>ORCL-PLAN
Value: 55.663
Public source: https://www.sec.gov/Archives/edgar/data/1341439/000119312526265848/orcl-ex99_1.htm
Evidence: Oracle reported FY2026 GAAP cash capex of $55.663B. Official Q4 slides guide to approximately $70B of FY2027 net cash outlay for capex, a non-GAAP measure that deducts capex financing and customer prepayments and is not interchangeable with gross capex. The model uses the latest completed gross-capex actual rather than the expired $50B FY2026 outlook. Official slides: https://s23.q4cdn.com/440135859/files/doc_financials/2026/q4/Q4-FY26-Oracle-Earnings-Slides.pdf. Local backup: 01_sources/company_filings/oracle/Oracle_2026-06-10_Q4-FY26_Earnings_Slides.pdf
Classification: public filing / official company disclosure unless stated otherwise.</t>
        </r>
      </text>
    </comment>
    <comment ref="H52" authorId="0" shapeId="0" xr:uid="{00000000-0006-0000-0300-000030000000}">
      <text>
        <r>
          <rPr>
            <sz val="11"/>
            <color theme="1"/>
            <rFont val="Calibri"/>
            <family val="2"/>
            <scheme val="minor"/>
          </rPr>
          <t>ORCL-WACC
Value: 0.0783
Public source: https://pages.stern.nyu.edu/~adamodar/New_Home_Page/datafile/wacc.html
Evidence: January 2026 cost of capital for Computer Services, January 2026 U.S. industry average
Classification: public filing / official company disclosure unless stated otherwise.</t>
        </r>
      </text>
    </comment>
    <comment ref="H53" authorId="0" shapeId="0" xr:uid="{00000000-0006-0000-0300-000031000000}">
      <text>
        <r>
          <rPr>
            <sz val="11"/>
            <color theme="1"/>
            <rFont val="Calibri"/>
            <family val="2"/>
            <scheme val="minor"/>
          </rPr>
          <t>META-Q225-FACT
Value: 47.516
Public source: https://www.sec.gov/Archives/edgar/data/1326801/000162828025036791/meta-20250630.htm
Evidence: Q2 2025 revenue was $47.516B.
Classification: public filing / official company disclosure unless stated otherwise.</t>
        </r>
      </text>
    </comment>
    <comment ref="H54" authorId="0" shapeId="0" xr:uid="{00000000-0006-0000-0300-000032000000}">
      <text>
        <r>
          <rPr>
            <sz val="11"/>
            <color theme="1"/>
            <rFont val="Calibri"/>
            <family val="2"/>
            <scheme val="minor"/>
          </rPr>
          <t>META-Q225-CAPEX
Value: 17.012
Public source: https://www.sec.gov/Archives/edgar/data/1326801/000162828025036791/meta-20250630.htm
Evidence: Company-defined capex including finance-lease principal was $17.012B (reported as $17.01B).
Classification: public filing / official company disclosure unless stated otherwise.</t>
        </r>
      </text>
    </comment>
    <comment ref="H55" authorId="0" shapeId="0" xr:uid="{00000000-0006-0000-0300-000033000000}">
      <text>
        <r>
          <rPr>
            <sz val="11"/>
            <color theme="1"/>
            <rFont val="Calibri"/>
            <family val="2"/>
            <scheme val="minor"/>
          </rPr>
          <t>META-Q325-FACT
Value: 51.242
Public source: https://www.sec.gov/Archives/edgar/data/1326801/000162828025047240/meta-20250930.htm
Evidence: Q3 2025 revenue was $51.242B.
Local source: 01_sources/company_filings/meta/Meta_2025-10-30_10-Q_meta-20250930.htm
Classification: public filing / official company disclosure unless stated otherwise.</t>
        </r>
      </text>
    </comment>
    <comment ref="H56" authorId="0" shapeId="0" xr:uid="{00000000-0006-0000-0300-000034000000}">
      <text>
        <r>
          <rPr>
            <sz val="11"/>
            <color theme="1"/>
            <rFont val="Calibri"/>
            <family val="2"/>
            <scheme val="minor"/>
          </rPr>
          <t>META-Q325-CAPEX
Value: 19.374
Public source: https://www.sec.gov/Archives/edgar/data/1326801/000162828025047240/meta-20250930.htm
Evidence: Company-defined capex including finance-lease principal was $19.374B (reported as $19.37B).
Local source: 01_sources/company_filings/meta/Meta_2025-10-30_10-Q_meta-20250930.htm
Classification: public filing / official company disclosure unless stated otherwise.</t>
        </r>
      </text>
    </comment>
    <comment ref="H57" authorId="0" shapeId="0" xr:uid="{00000000-0006-0000-0300-000035000000}">
      <text>
        <r>
          <rPr>
            <sz val="11"/>
            <color theme="1"/>
            <rFont val="Calibri"/>
            <family val="2"/>
            <scheme val="minor"/>
          </rPr>
          <t>META-Q425-FACT
Value: 59.893
Public source: https://www.sec.gov/Archives/edgar/data/1326801/000162828026003942/meta-20251231.htm
Evidence: Q4 2025 revenue = $200.966B FY2025 less $141.073B first nine months = $59.893B.
Local source: 01_sources/company_filings/meta/Meta_2026-01-29_10-K_meta-20251231.htm
Classification: public filing / official company disclosure unless stated otherwise.</t>
        </r>
      </text>
    </comment>
    <comment ref="H58" authorId="0" shapeId="0" xr:uid="{00000000-0006-0000-0300-000036000000}">
      <text>
        <r>
          <rPr>
            <sz val="11"/>
            <color theme="1"/>
            <rFont val="Calibri"/>
            <family val="2"/>
            <scheme val="minor"/>
          </rPr>
          <t>META-Q425-CAPEX
Value: 22.137
Public source: https://www.sec.gov/Archives/edgar/data/1326801/000162828026003942/meta-20251231.htm
Evidence: Company-defined capex including finance-lease principal was $22.137B (reported as $22.14B).
Local source: 01_sources/company_filings/meta/Meta_2026-01-29_10-K_meta-20251231.htm
Classification: public filing / official company disclosure unless stated otherwise.</t>
        </r>
      </text>
    </comment>
    <comment ref="H59" authorId="0" shapeId="0" xr:uid="{00000000-0006-0000-0300-000037000000}">
      <text>
        <r>
          <rPr>
            <sz val="11"/>
            <color theme="1"/>
            <rFont val="Calibri"/>
            <family val="2"/>
            <scheme val="minor"/>
          </rPr>
          <t>META-Q126-FACT
Value: 56.311
Public source: https://www.sec.gov/Archives/edgar/data/1326801/000162828026028526/meta-20260331.htm
Evidence: Q1 2026 revenue was $56.311B. The $240B annualized revenue in the supplied snapshot is based on roughly $60B and does not match the Q1 filing; filing-based annualized revenue is $225.244B.
Local source: 01_sources/company_filings/meta/Meta_2026-04-30_10-Q_meta-20260331.htm
Classification: public filing / official company disclosure unless stated otherwise.</t>
        </r>
      </text>
    </comment>
    <comment ref="H60" authorId="0" shapeId="0" xr:uid="{00000000-0006-0000-0300-000038000000}">
      <text>
        <r>
          <rPr>
            <sz val="11"/>
            <color theme="1"/>
            <rFont val="Calibri"/>
            <family val="2"/>
            <scheme val="minor"/>
          </rPr>
          <t>META-Q126-CAPEX
Value: 19.84
Public source: https://www.sec.gov/Archives/edgar/data/1326801/000162828026028526/meta-20260331.htm
Evidence: Company-defined capex was $19.840B: $18.997B cash PP&amp;E purchases plus $0.843B finance-lease principal.
Local source: 01_sources/company_filings/meta/Meta_2026-04-30_10-Q_meta-20260331.htm
Classification: public filing / official company disclosure unless stated otherwise.</t>
        </r>
      </text>
    </comment>
    <comment ref="H61" authorId="0" shapeId="0" xr:uid="{00000000-0006-0000-0300-000039000000}">
      <text>
        <r>
          <rPr>
            <sz val="11"/>
            <color theme="1"/>
            <rFont val="Calibri"/>
            <family val="2"/>
            <scheme val="minor"/>
          </rPr>
          <t>META-Q226-FACT
Value: 60.801
Public source: https://www.sec.gov/Archives/edgar/data/1326801/000162828026050705/meta-20260630.htm
Evidence: Q2 2026 total company revenue was $60.801B; Meta does not disclose standalone AI revenue.
Local source: 01_sources/company_filings/meta/Meta_2026-07-30_10-Q_meta-20260630.htm
Classification: public filing / official company disclosure unless stated otherwise.</t>
        </r>
      </text>
    </comment>
    <comment ref="H62" authorId="0" shapeId="0" xr:uid="{00000000-0006-0000-0300-00003A000000}">
      <text>
        <r>
          <rPr>
            <sz val="11"/>
            <color theme="1"/>
            <rFont val="Calibri"/>
            <family val="2"/>
            <scheme val="minor"/>
          </rPr>
          <t>META-Q226-CAPEX
Value: 31.078
Public source: https://www.sec.gov/Archives/edgar/data/1326801/000162828026050705/meta-20260630.htm
Evidence: Company-defined capex was $31.078B: $30.116B Q2 cash PP&amp;E purchases plus $0.962B finance-lease principal, reported as $31.08B.
Local source: 01_sources/company_filings/meta/Meta_2026-07-30_10-Q_meta-20260630.htm
Classification: public filing / official company disclosure unless stated otherwise.</t>
        </r>
      </text>
    </comment>
    <comment ref="H63" authorId="0" shapeId="0" xr:uid="{00000000-0006-0000-0300-00003B000000}">
      <text>
        <r>
          <rPr>
            <sz val="11"/>
            <color theme="1"/>
            <rFont val="Calibri"/>
            <family val="2"/>
            <scheme val="minor"/>
          </rPr>
          <t>META-PLAN
Value: 137.5
Public source: https://www.sec.gov/Archives/edgar/data/1326801/000162828026050596/meta-06302026xexhibit991.htm
Evidence: Meta narrowed 2026 capex guidance to $130B-$145B from $125B-$145B. $137.5B is the model midpoint, not company point guidance.
Classification: public filing / official company disclosure unless stated otherwise.</t>
        </r>
      </text>
    </comment>
    <comment ref="H64" authorId="0" shapeId="0" xr:uid="{00000000-0006-0000-0300-00003C000000}">
      <text>
        <r>
          <rPr>
            <sz val="11"/>
            <color theme="1"/>
            <rFont val="Calibri"/>
            <family val="2"/>
            <scheme val="minor"/>
          </rPr>
          <t>META-WACC
Value: 0.1066
Public source: https://pages.stern.nyu.edu/~adamodar/New_Home_Page/datafile/wacc.html
Evidence: January 2026 cost of capital for Software (Internet), January 2026 U.S. industry average
Classification: public filing / official company disclosure unless stated otherwise.</t>
        </r>
      </text>
    </comment>
  </commentList>
</comments>
</file>

<file path=xl/sharedStrings.xml><?xml version="1.0" encoding="utf-8"?>
<sst xmlns="http://schemas.openxmlformats.org/spreadsheetml/2006/main" count="1361" uniqueCount="674">
  <si>
    <t>AI Capex / Revenue Proxy and Forward ROIC — Filing-Based Reconstruction</t>
  </si>
  <si>
    <t>Public facts are linked in notes. AI attribution, duration and margins are assumptions. Spread is shown in percentage points; only the change row on Snapshot is basis points.</t>
  </si>
  <si>
    <t>Company</t>
  </si>
  <si>
    <t>Metric</t>
  </si>
  <si>
    <t>Q2 25</t>
  </si>
  <si>
    <t>Q3 25</t>
  </si>
  <si>
    <t>Q4 25</t>
  </si>
  <si>
    <t>Q1 26</t>
  </si>
  <si>
    <t>Q2 26</t>
  </si>
  <si>
    <t>MSFT</t>
  </si>
  <si>
    <t>Commercial RPO/Backlog ($B)</t>
  </si>
  <si>
    <t>Quarterly Capex ($B)</t>
  </si>
  <si>
    <t>Annualized AI Capex ($B)</t>
  </si>
  <si>
    <t>Annualized AI Revenue Proxy ($B)</t>
  </si>
  <si>
    <t>Forward ROIC (Base)</t>
  </si>
  <si>
    <t>Spread vs WACC (ppt)</t>
  </si>
  <si>
    <t>GOOG</t>
  </si>
  <si>
    <t>Revenue Backlog/RPO ($B)</t>
  </si>
  <si>
    <t>AMZN</t>
  </si>
  <si>
    <t>AWS-linked Commitments/RPO ($B)</t>
  </si>
  <si>
    <t>ORCL</t>
  </si>
  <si>
    <t>RPO ($B)</t>
  </si>
  <si>
    <t>META</t>
  </si>
  <si>
    <t>Revenue (Quarter, $B)</t>
  </si>
  <si>
    <t>Latest-Quarter Forward ROIC Snapshot — Filing-Based Reconstruction</t>
  </si>
  <si>
    <t>Latest Quarter</t>
  </si>
  <si>
    <t>FY26 Q4 (Jun. 30, 2026)</t>
  </si>
  <si>
    <t>Q2 2026 (Jun. 30, 2026)</t>
  </si>
  <si>
    <t>FY26 Q4 (May. 31, 2026)</t>
  </si>
  <si>
    <t>AI Revenue Source</t>
  </si>
  <si>
    <t>Commercial RPO × assumed AI share ÷ assumed duration</t>
  </si>
  <si>
    <t>RPO × assumed AI share ÷ assumed duration</t>
  </si>
  <si>
    <t>Quarterly revenue × 4 × assumed AI attribution</t>
  </si>
  <si>
    <t>Total RPO/Backlog or Annualized Revenue ($B)</t>
  </si>
  <si>
    <t>AI Share % (assumption)</t>
  </si>
  <si>
    <t>AI-linked RPO/Revenue ($B)</t>
  </si>
  <si>
    <t>Annual Capex Guide / Midpoint / Actual ($B)</t>
  </si>
  <si>
    <t>Plan Basis</t>
  </si>
  <si>
    <t>AI Share of Capex % (assumption)</t>
  </si>
  <si>
    <t>AI Capex ($B)</t>
  </si>
  <si>
    <t>RPO Duration (years, assumption)</t>
  </si>
  <si>
    <t>N/A</t>
  </si>
  <si>
    <t>NOPAT Margin (Base)</t>
  </si>
  <si>
    <t>— SNAPSHOT VIEW (latest annual capex denominator) —</t>
  </si>
  <si>
    <t>WACC (Damodaran sector, Jan. 2026)</t>
  </si>
  <si>
    <t>Spread (Base, ppt)</t>
  </si>
  <si>
    <t>Forward ROIC (Bear)</t>
  </si>
  <si>
    <t>Spread (Bear, ppt)</t>
  </si>
  <si>
    <t>Forward ROIC (Bull)</t>
  </si>
  <si>
    <t>Spread (Bull, ppt)</t>
  </si>
  <si>
    <t>— TRAJECTORY VIEW (quarterly capex × 4 as denominator) —</t>
  </si>
  <si>
    <t>Spread Q2 26 (run-rate basis, ppt)</t>
  </si>
  <si>
    <t>Spread Q2 25 (run-rate basis, ppt)</t>
  </si>
  <si>
    <t>Δ Spread Q2 26 vs Q2 25 (bps)</t>
  </si>
  <si>
    <t>Filing Inputs</t>
  </si>
  <si>
    <t>Model Assumptions and Latest Annual Capex Denominators</t>
  </si>
  <si>
    <t>Blue cells are public-filing or official-company facts. Yellow cells are analyst assumptions. Every sourced value carries a cell note with the public URL.</t>
  </si>
  <si>
    <t>Ticker</t>
  </si>
  <si>
    <t>Report Bucket</t>
  </si>
  <si>
    <t>Fiscal Period</t>
  </si>
  <si>
    <t>Period End</t>
  </si>
  <si>
    <t>RPO/Backlog or Revenue ($B)</t>
  </si>
  <si>
    <t>Fact Metric</t>
  </si>
  <si>
    <t>Capex Definition</t>
  </si>
  <si>
    <t>Fact Source URL</t>
  </si>
  <si>
    <t>Capex Source URL</t>
  </si>
  <si>
    <t>Evidence / Derivation</t>
  </si>
  <si>
    <t>Fact Source ID</t>
  </si>
  <si>
    <t>Capex Source ID</t>
  </si>
  <si>
    <t>AI Revenue Proxy</t>
  </si>
  <si>
    <t>AI Share of RPO/Revenue</t>
  </si>
  <si>
    <t>RPO Duration (Years)</t>
  </si>
  <si>
    <t>AI Share of Capex</t>
  </si>
  <si>
    <t>NOPAT Margin (Bear)</t>
  </si>
  <si>
    <t>NOPAT Margin (Bull)</t>
  </si>
  <si>
    <t>WACC</t>
  </si>
  <si>
    <t>Damodaran Sector / Date</t>
  </si>
  <si>
    <t>Plan Source URL</t>
  </si>
  <si>
    <t>Source / Assumption Caveat</t>
  </si>
  <si>
    <t>Microsoft</t>
  </si>
  <si>
    <t>FY25 Q4</t>
  </si>
  <si>
    <t>Commercial remaining performance obligation</t>
  </si>
  <si>
    <t>Company-reported capex, including finance leases</t>
  </si>
  <si>
    <t>https://www.sec.gov/Archives/edgar/data/789019/000095017025100235/msft-20250630.htm</t>
  </si>
  <si>
    <t>https://www.microsoft.com/en-us/Investor/earnings/FY-2025-Q4/press-release-webcast</t>
  </si>
  <si>
    <t>Fact: Commercial RPO increased to $368B at June 30, 2025. Capex: Official FY25 Q4 transcript: capital expenditures were $24.2B, including finance leases.</t>
  </si>
  <si>
    <t>MSFT-Q225-FACT</t>
  </si>
  <si>
    <t>MSFT-Q225-CAPEX</t>
  </si>
  <si>
    <t>Software (System &amp; Application), January 2026 U.S. industry average</t>
  </si>
  <si>
    <t>CY2026 reported capex outlook after FY26 Q4 results</t>
  </si>
  <si>
    <t>https://www.microsoft.com/en-us/investor/events/fy-2026/earnings-fy-2026-q4</t>
  </si>
  <si>
    <t>Microsoft reduced reported CY2026 capex expectation to approximately $175B from roughly $190B because longer datacenter useful lives shift future leases from finance leases included in its capex metric to operating leases excluded from it. Management said underlying investment expectations were unchanged; the lower denominator is a classification effect. AI share, 2.5-year duration, and scenario margins retain the supplied model assumptions for comparability. Microsoft disclosed a 2.3-year weighted-average commercial-RPO duration including OpenAI at June 30, 2026; using 2.3 years would be a methodology change.</t>
  </si>
  <si>
    <t>FY26 Q1</t>
  </si>
  <si>
    <t>Company-reported capex, including finance-lease timing effects</t>
  </si>
  <si>
    <t>https://www.sec.gov/Archives/edgar/data/789019/000119312525256321/msft-20250930.htm</t>
  </si>
  <si>
    <t>https://www.microsoft.com/en-us/Investor/earnings/FY-2026-Q1/press-release-webcast</t>
  </si>
  <si>
    <t>Fact: The 10-Q reports $398B total RPO, of which $392B is commercial RPO. Capex: Official FY26 Q1 transcript: capital expenditures were $34.9B.</t>
  </si>
  <si>
    <t>MSFT-Q325-FACT</t>
  </si>
  <si>
    <t>MSFT-Q325-CAPEX</t>
  </si>
  <si>
    <t>Software (Internet), January 2026 U.S. industry average</t>
  </si>
  <si>
    <t>Midpoint of updated CY2026 $195B-$205B company range</t>
  </si>
  <si>
    <t>https://abc.xyz/investor/events/event-details/2026/2026-Q2-Earnings-Call-2026-GgTAq7Is0z/default.aspx</t>
  </si>
  <si>
    <t>Alphabet's official Q2 2026 call raised its 2026 capex range to $195B-$205B from $180B-$190B. $200B is the model midpoint, not company point guidance. AI share, 2.5-year duration, and scenario margins retain the supplied model assumptions. Alphabet says just over half of backlog should be recognized over 24 months but does not disclose a single average duration or a 65% AI share.</t>
  </si>
  <si>
    <t>FY26 Q2</t>
  </si>
  <si>
    <t>https://www.sec.gov/Archives/edgar/data/789019/000119312526027207/msft-20251231.htm</t>
  </si>
  <si>
    <t>https://www.microsoft.com/en-us/Investor/earnings/FY-2026-Q2/press-release-webcast</t>
  </si>
  <si>
    <t>Fact: Commercial RPO was $625B with a weighted-average duration of approximately 2.5 years. Capex: Official FY26 Q2 transcript: capital expenditures were $37.5B.</t>
  </si>
  <si>
    <t>MSFT-Q425-FACT</t>
  </si>
  <si>
    <t>MSFT-Q425-CAPEX</t>
  </si>
  <si>
    <t>Retail (General), January 2026 U.S. industry average</t>
  </si>
  <si>
    <t>CY2026 company outlook; no replacement numeric Q2 update</t>
  </si>
  <si>
    <t>https://www.sec.gov/Archives/edgar/data/1018724/000101872426000002/amzn-20251231xex991.htm</t>
  </si>
  <si>
    <t>Amazon's SEC-filed Q4 2025 release said it expected about $200B of 2026 capex. The Q2 2026 10-Q and filed release did not provide a replacement numeric full-year plan. AI share, four-year duration, and scenario margins retain the supplied model assumptions for comparability. Amazon disclosed a 6.4-year weighted-average remaining contract life at June 30, 2026; the four-year model input materially accelerates the annualized revenue proxy.</t>
  </si>
  <si>
    <t>FY26 Q3</t>
  </si>
  <si>
    <t>https://www.sec.gov/Archives/edgar/data/789019/000119312526191507/msft-20260331.htm</t>
  </si>
  <si>
    <t>https://www.microsoft.com/en-us/Investor/earnings/FY-2026-Q3/press-release-webcast</t>
  </si>
  <si>
    <t>Fact: Commercial RPO was $627B with a weighted-average duration of approximately 2.5 years. Capex: Official FY26 Q3 transcript: capital expenditures were $31.9B; cash paid for PP&amp;E was $30.9B.</t>
  </si>
  <si>
    <t>MSFT-Q126-FACT</t>
  </si>
  <si>
    <t>MSFT-Q126-CAPEX</t>
  </si>
  <si>
    <t>Computer Services, January 2026 U.S. industry average</t>
  </si>
  <si>
    <t>FY2026 reported actual; no comparable FY2027 gross-capex guide</t>
  </si>
  <si>
    <t>https://www.sec.gov/Archives/edgar/data/1341439/000119312526265848/orcl-ex99_1.htm</t>
  </si>
  <si>
    <t>Oracle reported FY2026 GAAP cash capex of $55.663B. Official Q4 slides guide to approximately $70B of FY2027 net cash outlay for capex, a non-GAAP measure that deducts capex financing and customer prepayments and is not interchangeable with gross capex. The model uses the latest completed gross-capex actual rather than the expired $50B FY2026 outlook. Official slides: https://s23.q4cdn.com/440135859/files/doc_financials/2026/q4/Q4-FY26-Oracle-Earnings-Slides.pdf. Local backup: 01_sources/company_filings/oracle/Oracle_2026-06-10_Q4-FY26_Earnings_Slides.pdf AI shares, five-year duration, and scenario margins retain the supplied model assumptions. Oracle reports company-wide RPO and does not disclose that 85% is AI or that recognition is straight-line over five years.</t>
  </si>
  <si>
    <t>FY26 Q4</t>
  </si>
  <si>
    <t>Management-reported capex, including finance-lease commencement effects</t>
  </si>
  <si>
    <t>https://www.sec.gov/Archives/edgar/data/789019/000119312526323660/msft-20260630.htm</t>
  </si>
  <si>
    <t>Fact: Commercial remaining performance obligation was $678B; total company RPO was $684B. Weighted-average commercial-RPO duration including OpenAI was 2.3 years. Capex: Official FY26 Q4 call reports management capex of $41.0B, including $5.6B of finance leases; cash paid for PP&amp;E was $35.8B. The trajectory preserves Microsoft's management capex series.</t>
  </si>
  <si>
    <t>MSFT-Q226-FACT</t>
  </si>
  <si>
    <t>MSFT-Q226-CAPEX</t>
  </si>
  <si>
    <t>Midpoint of narrowed CY2026 $130B-$145B company range</t>
  </si>
  <si>
    <t>https://www.sec.gov/Archives/edgar/data/1326801/000162828026050596/meta-06302026xexhibit991.htm</t>
  </si>
  <si>
    <t>Meta narrowed 2026 capex guidance to $130B-$145B from $125B-$145B. $137.5B is the model midpoint, not company point guidance. The 20% AI revenue attribution, 90% AI capex share, and scenario margins retain the supplied model assumptions. Meta does not report standalone AI revenue or AI-only capex.</t>
  </si>
  <si>
    <t>Alphabet</t>
  </si>
  <si>
    <t>Q2 2025</t>
  </si>
  <si>
    <t>Revenue backlog / remaining performance obligations</t>
  </si>
  <si>
    <t>Cash purchases of property and equipment</t>
  </si>
  <si>
    <t>https://www.sec.gov/Archives/edgar/data/1652044/000165204425000062/goog-20250630.htm</t>
  </si>
  <si>
    <t>Fact: Revenue backlog/RPO was $108.2B as of June 30, 2025. Capex: Quarter capex = $39.643B first-half cash PP&amp;E purchases less $17.197B Q1 = $22.446B.</t>
  </si>
  <si>
    <t>GOOG-Q225-FACT</t>
  </si>
  <si>
    <t>GOOG-Q225-CAPEX</t>
  </si>
  <si>
    <t>Q3 2025</t>
  </si>
  <si>
    <t>https://www.sec.gov/Archives/edgar/data/1652044/000165204425000091/goog-20250930.htm</t>
  </si>
  <si>
    <t>Fact: Revenue backlog/RPO was $157.7B as of September 30, 2025, primarily related to Google Cloud. Capex: Quarter capex = $63.596B nine-month cash PP&amp;E purchases less $39.643B first half = $23.953B.</t>
  </si>
  <si>
    <t>GOOG-Q325-FACT</t>
  </si>
  <si>
    <t>GOOG-Q325-CAPEX</t>
  </si>
  <si>
    <t>Q4 2025</t>
  </si>
  <si>
    <t>https://www.sec.gov/Archives/edgar/data/1652044/000165204426000018/goog-20251231.htm</t>
  </si>
  <si>
    <t>Fact: Revenue backlog/RPO was $242.8B as of December 31, 2025, primarily related to Google Cloud. Capex: Quarter capex = $91.447B FY2025 cash PP&amp;E purchases less $63.596B first nine months = $27.851B.</t>
  </si>
  <si>
    <t>GOOG-Q425-FACT</t>
  </si>
  <si>
    <t>GOOG-Q425-CAPEX</t>
  </si>
  <si>
    <t>Q1 2026</t>
  </si>
  <si>
    <t>https://www.sec.gov/Archives/edgar/data/1652044/000165204426000048/goog-20260331.htm</t>
  </si>
  <si>
    <t>Fact: Revenue backlog/RPO was $467.6B; $462.3B related to Google Cloud. Alphabet changed the definition in Q1 2026 to include original terms of one year or less ($7.3B), so the series has a comparability break. Capex: The Q1 2026 10-Q reports $35.674B of cash purchases of property and equipment.</t>
  </si>
  <si>
    <t>GOOG-Q126-FACT</t>
  </si>
  <si>
    <t>GOOG-Q126-CAPEX</t>
  </si>
  <si>
    <t>Q2 2026</t>
  </si>
  <si>
    <t>https://www.sec.gov/Archives/edgar/data/1652044/000165204426000071/goog-20260630.htm</t>
  </si>
  <si>
    <t>Fact: Revenue backlog/RPO was $519.5B, including $513.9B related to Google Cloud. The Q1 2026 short-term-contract definition change remains in effect, and Cloud backlog now includes TPU system-sale agreements; the vast majority remains GCP agreements. Capex: The Q2 2026 10-Q reports exact cash purchases of PP&amp;E of $44.924B; narrative disclosure rounds to $44.9B.</t>
  </si>
  <si>
    <t>GOOG-Q226-FACT</t>
  </si>
  <si>
    <t>GOOG-Q226-CAPEX</t>
  </si>
  <si>
    <t>Amazon</t>
  </si>
  <si>
    <t>Long-term customer commitments, primarily AWS</t>
  </si>
  <si>
    <t>Cash payments to acquire productive assets (SEC XBRL)</t>
  </si>
  <si>
    <t>https://www.sec.gov/Archives/edgar/data/1018724/000101872425000086/amzn-20250630.htm</t>
  </si>
  <si>
    <t>Fact: Long-term customer commitments, primarily AWS, were approximately $195B as of June 30, 2025. Capex: SEC XBRL PaymentsToAcquireProductiveAssets for Q2 2025 was $32.183B.</t>
  </si>
  <si>
    <t>AMZN-Q225-FACT</t>
  </si>
  <si>
    <t>AMZN-Q225-CAPEX</t>
  </si>
  <si>
    <t>https://www.sec.gov/Archives/edgar/data/1018724/000101872425000123/amzn-20250930.htm</t>
  </si>
  <si>
    <t>Fact: Long-term customer commitments, primarily AWS, were approximately $200B; weighted-average remaining life was 3.8 years. Capex: SEC XBRL PaymentsToAcquireProductiveAssets for Q3 2025 was $35.095B.</t>
  </si>
  <si>
    <t>AMZN-Q325-FACT</t>
  </si>
  <si>
    <t>AMZN-Q325-CAPEX</t>
  </si>
  <si>
    <t>https://www.sec.gov/Archives/edgar/data/1018724/000101872426000004/amzn-20251231.htm</t>
  </si>
  <si>
    <t>Fact: Long-term customer commitments, primarily AWS, were approximately $244B as of December 31, 2025. Capex: Quarter capex = $131.819B FY2025 less $92.297B first nine months = $39.522B.</t>
  </si>
  <si>
    <t>AMZN-Q425-FACT</t>
  </si>
  <si>
    <t>AMZN-Q425-CAPEX</t>
  </si>
  <si>
    <t>https://www.sec.gov/Archives/edgar/data/1018724/000101872426000014/amzn-20260331.htm</t>
  </si>
  <si>
    <t>Fact: Long-term customer commitments, primarily AWS, were approximately $364B as of March 31, 2026—not $464B as shown in the supplied snapshot. Weighted-average remaining life was 5.5 years. Capex: SEC XBRL PaymentsToAcquireProductiveAssets was $44.203B. Amazon's narrative cash-capex measure was $43.2B; this model uses the standardized XBRL series consistently across quarters.</t>
  </si>
  <si>
    <t>AMZN-Q126-FACT</t>
  </si>
  <si>
    <t>AMZN-Q126-CAPEX</t>
  </si>
  <si>
    <t>Cash payments to acquire productive assets (SEC XBRL gross series)</t>
  </si>
  <si>
    <t>https://www.sec.gov/Archives/edgar/data/1018724/000101872426000026/amzn-20260630.htm</t>
  </si>
  <si>
    <t>Fact: Long-term customer commitments, primarily AWS, were approximately $496B; weighted-average remaining life was 6.4 years. Anthropic's expanded commitment is already included in the total and must not be added separately. Capex: Gross cash PP&amp;E purchases were $54.208B, also reconciling as $98.411B first half less $44.203B Q1. Amazon's separate net cash-capex measure was $53.076B; the model preserves the gross series.</t>
  </si>
  <si>
    <t>AMZN-Q226-FACT</t>
  </si>
  <si>
    <t>AMZN-Q226-CAPEX</t>
  </si>
  <si>
    <t>Oracle</t>
  </si>
  <si>
    <t>Remaining performance obligations</t>
  </si>
  <si>
    <t>Cash capital expenditures; Q4 derived from annual less nine months</t>
  </si>
  <si>
    <t>https://www.sec.gov/Archives/edgar/data/1341439/000095017025087926/orcl-20250531.htm</t>
  </si>
  <si>
    <t>Fact: Remaining performance obligations were $137.8B as of May 31, 2025. Capex: Quarter capex = $21.215B FY2025 less $12.135B first nine months = $9.080B. The $5.0B in the supplied image is not supported by Oracle's cash-flow filings. Nine-month source: https://www.sec.gov/Archives/edgar/data/1341439/000095017025037143/orcl-20250228.htm</t>
  </si>
  <si>
    <t>ORCL-Q225-FACT</t>
  </si>
  <si>
    <t>ORCL-Q225-CAPEX</t>
  </si>
  <si>
    <t>Cash capital expenditures</t>
  </si>
  <si>
    <t>https://www.sec.gov/Archives/edgar/data/1341439/000119312525200095/orcl-20250831.htm</t>
  </si>
  <si>
    <t>Fact: Remaining performance obligations were $455.3B as of August 31, 2025. Capex: The FY26 Q1 cash-flow statement reports $8.502B of capex.</t>
  </si>
  <si>
    <t>ORCL-Q325-FACT</t>
  </si>
  <si>
    <t>ORCL-Q325-CAPEX</t>
  </si>
  <si>
    <t>Cash capital expenditures; quarter derived from cumulative filing values</t>
  </si>
  <si>
    <t>https://www.sec.gov/Archives/edgar/data/1341439/000119312525315925/orcl-20251130.htm</t>
  </si>
  <si>
    <t>Fact: Remaining performance obligations were $523.3B as of November 30, 2025. Capex: Quarter capex = $20.535B first half less $8.502B Q1 = $12.033B.</t>
  </si>
  <si>
    <t>ORCL-Q425-FACT</t>
  </si>
  <si>
    <t>ORCL-Q425-CAPEX</t>
  </si>
  <si>
    <t>https://www.sec.gov/Archives/edgar/data/1341439/000119312526101045/orcl-20260228.htm</t>
  </si>
  <si>
    <t>Fact: Remaining performance obligations were $552.6B as of February 28, 2026. Capex: Quarter capex = $39.170B first nine months less $20.535B first half = $18.635B.</t>
  </si>
  <si>
    <t>ORCL-Q126-FACT</t>
  </si>
  <si>
    <t>ORCL-Q126-CAPEX</t>
  </si>
  <si>
    <t>https://www.sec.gov/Archives/edgar/data/1341439/000119312526277521/orcl-20260531.htm</t>
  </si>
  <si>
    <t>Fact: Remaining performance obligations were $638B at May 31, 2026, up $85B sequentially. Oracle's filed release says most Q3/Q4 RPO growth came from large AI contracts and $75B of prepaid or customer-supplied hardware reduces Oracle's own capital requirement. Capex: Quarter capex = $55.663B FY2026 cash capex less $39.170B first nine months = $16.493B.</t>
  </si>
  <si>
    <t>ORCL-Q226-FACT</t>
  </si>
  <si>
    <t>ORCL-Q226-CAPEX</t>
  </si>
  <si>
    <t>Meta Platforms</t>
  </si>
  <si>
    <t>Quarterly revenue</t>
  </si>
  <si>
    <t>Company-reported capex, including finance-lease principal payments</t>
  </si>
  <si>
    <t>https://www.sec.gov/Archives/edgar/data/1326801/000162828025036791/meta-20250630.htm</t>
  </si>
  <si>
    <t>Fact: Q2 2025 revenue was $47.516B. Capex: Company-defined capex including finance-lease principal was $17.012B (reported as $17.01B).</t>
  </si>
  <si>
    <t>META-Q225-FACT</t>
  </si>
  <si>
    <t>META-Q225-CAPEX</t>
  </si>
  <si>
    <t>https://www.sec.gov/Archives/edgar/data/1326801/000162828025047240/meta-20250930.htm</t>
  </si>
  <si>
    <t>Fact: Q3 2025 revenue was $51.242B. Capex: Company-defined capex including finance-lease principal was $19.374B (reported as $19.37B).</t>
  </si>
  <si>
    <t>META-Q325-FACT</t>
  </si>
  <si>
    <t>META-Q325-CAPEX</t>
  </si>
  <si>
    <t>Company-reported capex, including finance-lease principal payments; derived quarter</t>
  </si>
  <si>
    <t>https://www.sec.gov/Archives/edgar/data/1326801/000162828026003942/meta-20251231.htm</t>
  </si>
  <si>
    <t>Fact: Q4 2025 revenue = $200.966B FY2025 less $141.073B first nine months = $59.893B. Capex: Company-defined capex including finance-lease principal was $22.137B (reported as $22.14B).</t>
  </si>
  <si>
    <t>META-Q425-FACT</t>
  </si>
  <si>
    <t>META-Q425-CAPEX</t>
  </si>
  <si>
    <t>https://www.sec.gov/Archives/edgar/data/1326801/000162828026028526/meta-20260331.htm</t>
  </si>
  <si>
    <t>Fact: Q1 2026 revenue was $56.311B. The $240B annualized revenue in the supplied snapshot is based on roughly $60B and does not match the Q1 filing; filing-based annualized revenue is $225.244B. Capex: Company-defined capex was $19.840B: $18.997B cash PP&amp;E purchases plus $0.843B finance-lease principal.</t>
  </si>
  <si>
    <t>META-Q126-FACT</t>
  </si>
  <si>
    <t>META-Q126-CAPEX</t>
  </si>
  <si>
    <t>Company-defined capex including finance-lease principal payments</t>
  </si>
  <si>
    <t>https://www.sec.gov/Archives/edgar/data/1326801/000162828026050705/meta-20260630.htm</t>
  </si>
  <si>
    <t>Fact: Q2 2026 total company revenue was $60.801B; Meta does not disclose standalone AI revenue. Capex: Company-defined capex was $31.078B: $30.116B Q2 cash PP&amp;E purchases plus $0.962B finance-lease principal, reported as $31.08B.</t>
  </si>
  <si>
    <t>META-Q226-FACT</t>
  </si>
  <si>
    <t>META-Q226-CAPEX</t>
  </si>
  <si>
    <t>Public Source Ledger and Model Caveats</t>
  </si>
  <si>
    <t>Source URLs are public. BamSEC was not available in this task, so SEC EDGAR and official company investor-relations disclosures are the authority. Model assumptions are explicitly separated from facts.</t>
  </si>
  <si>
    <t>Source ID</t>
  </si>
  <si>
    <t>Period</t>
  </si>
  <si>
    <t>Value</t>
  </si>
  <si>
    <t>Classification</t>
  </si>
  <si>
    <t>Filing / Disclosure</t>
  </si>
  <si>
    <t>Public URL</t>
  </si>
  <si>
    <t>Local Source</t>
  </si>
  <si>
    <t>Status</t>
  </si>
  <si>
    <t>Caveat</t>
  </si>
  <si>
    <t>FY25 Q4 / 2025-06-30</t>
  </si>
  <si>
    <t>SEC filing</t>
  </si>
  <si>
    <t>msft-20250630.htm</t>
  </si>
  <si>
    <t>Commercial RPO increased to $368B at June 30, 2025.</t>
  </si>
  <si>
    <t>Verified</t>
  </si>
  <si>
    <t>Fact used in model</t>
  </si>
  <si>
    <t>Quarterly capex</t>
  </si>
  <si>
    <t>SEC filing / official company disclosure</t>
  </si>
  <si>
    <t>Official investor-relations disclosure</t>
  </si>
  <si>
    <t>Official FY25 Q4 transcript: capital expenditures were $24.2B, including finance leases.</t>
  </si>
  <si>
    <t>FY26 Q1 / 2025-09-30</t>
  </si>
  <si>
    <t>msft-20250930.htm</t>
  </si>
  <si>
    <t>The 10-Q reports $398B total RPO, of which $392B is commercial RPO.</t>
  </si>
  <si>
    <t>01_sources/company_filings/microsoft/Microsoft_2025-10-29_10-Q_msft-20250930.htm</t>
  </si>
  <si>
    <t>Official FY26 Q1 transcript: capital expenditures were $34.9B.</t>
  </si>
  <si>
    <t>FY26 Q2 / 2025-12-31</t>
  </si>
  <si>
    <t>msft-20251231.htm</t>
  </si>
  <si>
    <t>Commercial RPO was $625B with a weighted-average duration of approximately 2.5 years.</t>
  </si>
  <si>
    <t>01_sources/company_filings/microsoft/Microsoft_2026-01-28_10-Q_msft-20251231.htm</t>
  </si>
  <si>
    <t>Official FY26 Q2 transcript: capital expenditures were $37.5B.</t>
  </si>
  <si>
    <t>FY26 Q3 / 2026-03-31</t>
  </si>
  <si>
    <t>msft-20260331.htm</t>
  </si>
  <si>
    <t>Commercial RPO was $627B with a weighted-average duration of approximately 2.5 years.</t>
  </si>
  <si>
    <t>01_sources/company_filings/microsoft/Microsoft_2026-04-29_10-Q_msft-20260331.htm</t>
  </si>
  <si>
    <t>Official FY26 Q3 transcript: capital expenditures were $31.9B; cash paid for PP&amp;E was $30.9B.</t>
  </si>
  <si>
    <t>FY26 Q4 / 2026-06-30</t>
  </si>
  <si>
    <t>msft-20260630.htm</t>
  </si>
  <si>
    <t>Commercial remaining performance obligation was $678B; total company RPO was $684B. Weighted-average commercial-RPO duration including OpenAI was 2.3 years.</t>
  </si>
  <si>
    <t>01_sources/company_filings/microsoft/Microsoft_2026-07-29_10-K_msft-20260630.htm</t>
  </si>
  <si>
    <t>Official FY26 Q4 call reports management capex of $41.0B, including $5.6B of finance leases; cash paid for PP&amp;E was $35.8B. The trajectory preserves Microsoft's management capex series.</t>
  </si>
  <si>
    <t>MSFT-PLAN</t>
  </si>
  <si>
    <t>Latest snapshot</t>
  </si>
  <si>
    <t>Annual capex plan / guide</t>
  </si>
  <si>
    <t>Official company outlook</t>
  </si>
  <si>
    <t>Official outlook</t>
  </si>
  <si>
    <t>Microsoft reduced reported CY2026 capex expectation to approximately $175B from roughly $190B because longer datacenter useful lives shift future leases from finance leases included in its capex metric to operating leases excluded from it. Management said underlying investment expectations were unchanged; the lower denominator is a classification effect.</t>
  </si>
  <si>
    <t>Verified / disclosed basis</t>
  </si>
  <si>
    <t>MSFT-WACC</t>
  </si>
  <si>
    <t>WACC sector input</t>
  </si>
  <si>
    <t>Damodaran industry data / analyst sector selection</t>
  </si>
  <si>
    <t>Damodaran January 2026 data</t>
  </si>
  <si>
    <t>https://pages.stern.nyu.edu/~adamodar/New_Home_Page/datafile/wacc.html</t>
  </si>
  <si>
    <t>January 2026 cost of capital for Software (System &amp; Application), January 2026 U.S. industry average</t>
  </si>
  <si>
    <t>Industry average, not company-specific WACC</t>
  </si>
  <si>
    <t>Q2 2025 / 2025-06-30</t>
  </si>
  <si>
    <t>goog-20250630.htm</t>
  </si>
  <si>
    <t>Revenue backlog/RPO was $108.2B as of June 30, 2025.</t>
  </si>
  <si>
    <t>Quarter capex = $39.643B first-half cash PP&amp;E purchases less $17.197B Q1 = $22.446B.</t>
  </si>
  <si>
    <t>Q3 2025 / 2025-09-30</t>
  </si>
  <si>
    <t>goog-20250930.htm</t>
  </si>
  <si>
    <t>Revenue backlog/RPO was $157.7B as of September 30, 2025, primarily related to Google Cloud.</t>
  </si>
  <si>
    <t>01_sources/company_filings/alphabet/Alphabet_2025-10-30_10-Q_goog-20250930.htm</t>
  </si>
  <si>
    <t>Quarter capex = $63.596B nine-month cash PP&amp;E purchases less $39.643B first half = $23.953B.</t>
  </si>
  <si>
    <t>Q4 2025 / 2025-12-31</t>
  </si>
  <si>
    <t>goog-20251231.htm</t>
  </si>
  <si>
    <t>Revenue backlog/RPO was $242.8B as of December 31, 2025, primarily related to Google Cloud.</t>
  </si>
  <si>
    <t>01_sources/company_filings/alphabet/Alphabet_2026-02-05_10-K_goog-20251231.htm</t>
  </si>
  <si>
    <t>Quarter capex = $91.447B FY2025 cash PP&amp;E purchases less $63.596B first nine months = $27.851B.</t>
  </si>
  <si>
    <t>Q1 2026 / 2026-03-31</t>
  </si>
  <si>
    <t>goog-20260331.htm</t>
  </si>
  <si>
    <t>Revenue backlog/RPO was $467.6B; $462.3B related to Google Cloud. Alphabet changed the definition in Q1 2026 to include original terms of one year or less ($7.3B), so the series has a comparability break.</t>
  </si>
  <si>
    <t>01_sources/company_filings/alphabet/Alphabet_2026-04-30_10-Q_goog-20260331.htm</t>
  </si>
  <si>
    <t>The Q1 2026 10-Q reports $35.674B of cash purchases of property and equipment.</t>
  </si>
  <si>
    <t>Q2 2026 / 2026-06-30</t>
  </si>
  <si>
    <t>goog-20260630.htm</t>
  </si>
  <si>
    <t>Revenue backlog/RPO was $519.5B, including $513.9B related to Google Cloud. The Q1 2026 short-term-contract definition change remains in effect, and Cloud backlog now includes TPU system-sale agreements; the vast majority remains GCP agreements.</t>
  </si>
  <si>
    <t>01_sources/company_filings/alphabet/Alphabet_2026-07-23_10-Q_goog-20260630.htm</t>
  </si>
  <si>
    <t>The Q2 2026 10-Q reports exact cash purchases of PP&amp;E of $44.924B; narrative disclosure rounds to $44.9B.</t>
  </si>
  <si>
    <t>GOOG-PLAN</t>
  </si>
  <si>
    <t>Alphabet's official Q2 2026 call raised its 2026 capex range to $195B-$205B from $180B-$190B. $200B is the model midpoint, not company point guidance.</t>
  </si>
  <si>
    <t>GOOG-WACC</t>
  </si>
  <si>
    <t>January 2026 cost of capital for Software (Internet), January 2026 U.S. industry average</t>
  </si>
  <si>
    <t>amzn-20250630.htm</t>
  </si>
  <si>
    <t>Long-term customer commitments, primarily AWS, were approximately $195B as of June 30, 2025.</t>
  </si>
  <si>
    <t>SEC XBRL PaymentsToAcquireProductiveAssets for Q2 2025 was $32.183B.</t>
  </si>
  <si>
    <t>amzn-20250930.htm</t>
  </si>
  <si>
    <t>Long-term customer commitments, primarily AWS, were approximately $200B; weighted-average remaining life was 3.8 years.</t>
  </si>
  <si>
    <t>01_sources/company_filings/amazon/Amazon_2025-10-31_10-Q_amzn-20250930.htm</t>
  </si>
  <si>
    <t>SEC XBRL PaymentsToAcquireProductiveAssets for Q3 2025 was $35.095B.</t>
  </si>
  <si>
    <t>amzn-20251231.htm</t>
  </si>
  <si>
    <t>Long-term customer commitments, primarily AWS, were approximately $244B as of December 31, 2025.</t>
  </si>
  <si>
    <t>01_sources/company_filings/amazon/Amazon_2026-02-06_10-K_amzn-20251231.htm</t>
  </si>
  <si>
    <t>Quarter capex = $131.819B FY2025 less $92.297B first nine months = $39.522B.</t>
  </si>
  <si>
    <t>amzn-20260331.htm</t>
  </si>
  <si>
    <t>Long-term customer commitments, primarily AWS, were approximately $364B as of March 31, 2026—not $464B as shown in the supplied snapshot. Weighted-average remaining life was 5.5 years.</t>
  </si>
  <si>
    <t>01_sources/company_filings/amazon/Amazon_2026-04-30_10-Q_amzn-20260331.htm</t>
  </si>
  <si>
    <t>SEC XBRL PaymentsToAcquireProductiveAssets was $44.203B. Amazon's narrative cash-capex measure was $43.2B; this model uses the standardized XBRL series consistently across quarters.</t>
  </si>
  <si>
    <t>amzn-20260630.htm</t>
  </si>
  <si>
    <t>Long-term customer commitments, primarily AWS, were approximately $496B; weighted-average remaining life was 6.4 years. Anthropic's expanded commitment is already included in the total and must not be added separately.</t>
  </si>
  <si>
    <t>01_sources/company_filings/amazon/Amazon_2026-07-31_10-Q_amzn-20260630.htm</t>
  </si>
  <si>
    <t>Gross cash PP&amp;E purchases were $54.208B, also reconciling as $98.411B first half less $44.203B Q1. Amazon's separate net cash-capex measure was $53.076B; the model preserves the gross series.</t>
  </si>
  <si>
    <t>AMZN-PLAN</t>
  </si>
  <si>
    <t>Amazon's SEC-filed Q4 2025 release said it expected about $200B of 2026 capex. The Q2 2026 10-Q and filed release did not provide a replacement numeric full-year plan.</t>
  </si>
  <si>
    <t>AMZN-WACC</t>
  </si>
  <si>
    <t>January 2026 cost of capital for Retail (General), January 2026 U.S. industry average</t>
  </si>
  <si>
    <t>FY25 Q4 / 2025-05-31</t>
  </si>
  <si>
    <t>orcl-20250531.htm</t>
  </si>
  <si>
    <t>Remaining performance obligations were $137.8B as of May 31, 2025.</t>
  </si>
  <si>
    <t>Quarter capex = $21.215B FY2025 less $12.135B first nine months = $9.080B. The $5.0B in the supplied image is not supported by Oracle's cash-flow filings. Nine-month source: https://www.sec.gov/Archives/edgar/data/1341439/000095017025037143/orcl-20250228.htm</t>
  </si>
  <si>
    <t>FY26 Q1 / 2025-08-31</t>
  </si>
  <si>
    <t>orcl-20250831.htm</t>
  </si>
  <si>
    <t>Remaining performance obligations were $455.3B as of August 31, 2025.</t>
  </si>
  <si>
    <t>01_sources/company_filings/oracle/Oracle_2025-09-10_10-Q_orcl-20250831.htm</t>
  </si>
  <si>
    <t>The FY26 Q1 cash-flow statement reports $8.502B of capex.</t>
  </si>
  <si>
    <t>FY26 Q2 / 2025-11-30</t>
  </si>
  <si>
    <t>orcl-20251130.htm</t>
  </si>
  <si>
    <t>Remaining performance obligations were $523.3B as of November 30, 2025.</t>
  </si>
  <si>
    <t>01_sources/company_filings/oracle/Oracle_2025-12-11_10-Q_orcl-20251130.htm</t>
  </si>
  <si>
    <t>Quarter capex = $20.535B first half less $8.502B Q1 = $12.033B.</t>
  </si>
  <si>
    <t>FY26 Q3 / 2026-02-28</t>
  </si>
  <si>
    <t>orcl-20260228.htm</t>
  </si>
  <si>
    <t>Remaining performance obligations were $552.6B as of February 28, 2026.</t>
  </si>
  <si>
    <t>01_sources/company_filings/oracle/Oracle_2026-03-11_10-Q_orcl-20260228.htm</t>
  </si>
  <si>
    <t>Quarter capex = $39.170B first nine months less $20.535B first half = $18.635B.</t>
  </si>
  <si>
    <t>FY26 Q4 / 2026-05-31</t>
  </si>
  <si>
    <t>orcl-20260531.htm</t>
  </si>
  <si>
    <t>Remaining performance obligations were $638B at May 31, 2026, up $85B sequentially. Oracle's filed release says most Q3/Q4 RPO growth came from large AI contracts and $75B of prepaid or customer-supplied hardware reduces Oracle's own capital requirement.</t>
  </si>
  <si>
    <t>01_sources/company_filings/oracle/Oracle_2026-06-22_10-K_orcl-20260531.htm</t>
  </si>
  <si>
    <t>Quarter capex = $55.663B FY2026 cash capex less $39.170B first nine months = $16.493B.</t>
  </si>
  <si>
    <t>ORCL-PLAN</t>
  </si>
  <si>
    <t>Oracle reported FY2026 GAAP cash capex of $55.663B. Official Q4 slides guide to approximately $70B of FY2027 net cash outlay for capex, a non-GAAP measure that deducts capex financing and customer prepayments and is not interchangeable with gross capex. The model uses the latest completed gross-capex actual rather than the expired $50B FY2026 outlook. Official slides: https://s23.q4cdn.com/440135859/files/doc_financials/2026/q4/Q4-FY26-Oracle-Earnings-Slides.pdf. Local backup: 01_sources/company_filings/oracle/Oracle_2026-06-10_Q4-FY26_Earnings_Slides.pdf</t>
  </si>
  <si>
    <t>ORCL-WACC</t>
  </si>
  <si>
    <t>January 2026 cost of capital for Computer Services, January 2026 U.S. industry average</t>
  </si>
  <si>
    <t>meta-20250630.htm</t>
  </si>
  <si>
    <t>Q2 2025 revenue was $47.516B.</t>
  </si>
  <si>
    <t>Company-defined capex including finance-lease principal was $17.012B (reported as $17.01B).</t>
  </si>
  <si>
    <t>meta-20250930.htm</t>
  </si>
  <si>
    <t>Q3 2025 revenue was $51.242B.</t>
  </si>
  <si>
    <t>01_sources/company_filings/meta/Meta_2025-10-30_10-Q_meta-20250930.htm</t>
  </si>
  <si>
    <t>Company-defined capex including finance-lease principal was $19.374B (reported as $19.37B).</t>
  </si>
  <si>
    <t>meta-20251231.htm</t>
  </si>
  <si>
    <t>Q4 2025 revenue = $200.966B FY2025 less $141.073B first nine months = $59.893B.</t>
  </si>
  <si>
    <t>01_sources/company_filings/meta/Meta_2026-01-29_10-K_meta-20251231.htm</t>
  </si>
  <si>
    <t>Company-defined capex including finance-lease principal was $22.137B (reported as $22.14B).</t>
  </si>
  <si>
    <t>meta-20260331.htm</t>
  </si>
  <si>
    <t>Q1 2026 revenue was $56.311B. The $240B annualized revenue in the supplied snapshot is based on roughly $60B and does not match the Q1 filing; filing-based annualized revenue is $225.244B.</t>
  </si>
  <si>
    <t>01_sources/company_filings/meta/Meta_2026-04-30_10-Q_meta-20260331.htm</t>
  </si>
  <si>
    <t>Company-defined capex was $19.840B: $18.997B cash PP&amp;E purchases plus $0.843B finance-lease principal.</t>
  </si>
  <si>
    <t>meta-20260630.htm</t>
  </si>
  <si>
    <t>Q2 2026 total company revenue was $60.801B; Meta does not disclose standalone AI revenue.</t>
  </si>
  <si>
    <t>01_sources/company_filings/meta/Meta_2026-07-30_10-Q_meta-20260630.htm</t>
  </si>
  <si>
    <t>Company-defined capex was $31.078B: $30.116B Q2 cash PP&amp;E purchases plus $0.962B finance-lease principal, reported as $31.08B.</t>
  </si>
  <si>
    <t>META-PLAN</t>
  </si>
  <si>
    <t>Meta narrowed 2026 capex guidance to $130B-$145B from $125B-$145B. $137.5B is the model midpoint, not company point guidance.</t>
  </si>
  <si>
    <t>META-WACC</t>
  </si>
  <si>
    <t>Critical Interpretation and Comparability Caveats</t>
  </si>
  <si>
    <t>• This is a proxy model, not an accounting ROIC calculation. RPO/backlog is converted into an annualized revenue proxy using assumed AI attribution and duration.</t>
  </si>
  <si>
    <t>• Five quarters are shown so the change row is a true Q2 2025-to-Q2 2026 comparison. The original model assumptions are held constant to isolate reported-financial movement.</t>
  </si>
  <si>
    <t>• RPO/backlog is not like-for-like: Microsoft uses commercial RPO; Alphabet's definition changed in Q1 2026 and now includes TPU system-sale agreements; Amazon reports primarily AWS commitments; Oracle reports company-wide RPO.</t>
  </si>
  <si>
    <t>• Current disclosed durations differ from the retained assumptions: Microsoft disclosed 2.3 years versus the model's 2.5; Amazon disclosed 6.4 years versus the model's 4.0. These differences can materially change the revenue proxy.</t>
  </si>
  <si>
    <t>• Capex definitions differ by issuer. Microsoft uses a management measure affected by lease classification; Alphabet and Oracle use cash PP&amp;E/capex; Amazon uses gross productive-asset cash payments; Meta includes finance-lease principal.</t>
  </si>
  <si>
    <t>• Microsoft's $175B reported capex outlook is lower because leases shifted outside its metric, not because economic investment plans fell. Alphabet and Meta denominators are range midpoints. Oracle uses FY2026 gross-capex actual because its approximately $70B FY2027 outlook is a non-comparable net-cash-outlay measure.</t>
  </si>
  <si>
    <t>• AI shares of RPO/revenue and capex, NOPAT margins, duration assumptions, and Damodaran sector mappings are analyst assumptions. Spread is percentage points; only the Q2-to-Q2 change row is basis points.</t>
  </si>
  <si>
    <t>Independent Recalculation Checks</t>
  </si>
  <si>
    <t>Check ID</t>
  </si>
  <si>
    <t>Test</t>
  </si>
  <si>
    <t>Expected</t>
  </si>
  <si>
    <t>Workbook Value</t>
  </si>
  <si>
    <t>Tolerance</t>
  </si>
  <si>
    <t>MSFT-Q225-ANNUALIZED-AI-CAPEX</t>
  </si>
  <si>
    <t>MSFT Q2 25 Annualized AI capex</t>
  </si>
  <si>
    <t>MSFT-Q225-ANNUALIZED-AI-REVENUE</t>
  </si>
  <si>
    <t>MSFT Q2 25 Annualized AI revenue</t>
  </si>
  <si>
    <t>MSFT-Q225-FORWARD-ROIC</t>
  </si>
  <si>
    <t>MSFT Q2 25 Forward ROIC</t>
  </si>
  <si>
    <t>MSFT-Q225-SPREAD</t>
  </si>
  <si>
    <t>MSFT Q2 25 Spread</t>
  </si>
  <si>
    <t>MSFT-Q325-ANNUALIZED-AI-CAPEX</t>
  </si>
  <si>
    <t>MSFT Q3 25 Annualized AI capex</t>
  </si>
  <si>
    <t>MSFT-Q325-ANNUALIZED-AI-REVENUE</t>
  </si>
  <si>
    <t>MSFT Q3 25 Annualized AI revenue</t>
  </si>
  <si>
    <t>MSFT-Q325-FORWARD-ROIC</t>
  </si>
  <si>
    <t>MSFT Q3 25 Forward ROIC</t>
  </si>
  <si>
    <t>MSFT-Q325-SPREAD</t>
  </si>
  <si>
    <t>MSFT Q3 25 Spread</t>
  </si>
  <si>
    <t>MSFT-Q425-ANNUALIZED-AI-CAPEX</t>
  </si>
  <si>
    <t>MSFT Q4 25 Annualized AI capex</t>
  </si>
  <si>
    <t>MSFT-Q425-ANNUALIZED-AI-REVENUE</t>
  </si>
  <si>
    <t>MSFT Q4 25 Annualized AI revenue</t>
  </si>
  <si>
    <t>MSFT-Q425-FORWARD-ROIC</t>
  </si>
  <si>
    <t>MSFT Q4 25 Forward ROIC</t>
  </si>
  <si>
    <t>MSFT-Q425-SPREAD</t>
  </si>
  <si>
    <t>MSFT Q4 25 Spread</t>
  </si>
  <si>
    <t>MSFT-Q126-ANNUALIZED-AI-CAPEX</t>
  </si>
  <si>
    <t>MSFT Q1 26 Annualized AI capex</t>
  </si>
  <si>
    <t>MSFT-Q126-ANNUALIZED-AI-REVENUE</t>
  </si>
  <si>
    <t>MSFT Q1 26 Annualized AI revenue</t>
  </si>
  <si>
    <t>MSFT-Q126-FORWARD-ROIC</t>
  </si>
  <si>
    <t>MSFT Q1 26 Forward ROIC</t>
  </si>
  <si>
    <t>MSFT-Q126-SPREAD</t>
  </si>
  <si>
    <t>MSFT Q1 26 Spread</t>
  </si>
  <si>
    <t>MSFT-Q226-ANNUALIZED-AI-CAPEX</t>
  </si>
  <si>
    <t>MSFT Q2 26 Annualized AI capex</t>
  </si>
  <si>
    <t>MSFT-Q226-ANNUALIZED-AI-REVENUE</t>
  </si>
  <si>
    <t>MSFT Q2 26 Annualized AI revenue</t>
  </si>
  <si>
    <t>MSFT-Q226-FORWARD-ROIC</t>
  </si>
  <si>
    <t>MSFT Q2 26 Forward ROIC</t>
  </si>
  <si>
    <t>MSFT-Q226-SPREAD</t>
  </si>
  <si>
    <t>MSFT Q2 26 Spread</t>
  </si>
  <si>
    <t>MSFT-SNAPSHOT-ANNUALIZED-AI-REVENUE</t>
  </si>
  <si>
    <t>MSFT Snapshot annualized AI revenue</t>
  </si>
  <si>
    <t>MSFT-SNAPSHOT-AI-CAPEX</t>
  </si>
  <si>
    <t>MSFT Snapshot AI capex</t>
  </si>
  <si>
    <t>MSFT-SNAPSHOT-BASE-ROIC</t>
  </si>
  <si>
    <t>MSFT Snapshot base ROIC</t>
  </si>
  <si>
    <t>MSFT-SNAPSHOT-BASE-SPREAD</t>
  </si>
  <si>
    <t>MSFT Snapshot base spread</t>
  </si>
  <si>
    <t>MSFT-SNAPSHOT-BEAR-SPREAD</t>
  </si>
  <si>
    <t>MSFT Snapshot bear spread</t>
  </si>
  <si>
    <t>MSFT-SNAPSHOT-BULL-SPREAD</t>
  </si>
  <si>
    <t>MSFT Snapshot bull spread</t>
  </si>
  <si>
    <t>MSFT-DELTA-SPREAD-BPS</t>
  </si>
  <si>
    <t>MSFT displayed-window spread change in bps</t>
  </si>
  <si>
    <t>GOOG-Q225-ANNUALIZED-AI-CAPEX</t>
  </si>
  <si>
    <t>GOOG Q2 25 Annualized AI capex</t>
  </si>
  <si>
    <t>GOOG-Q225-ANNUALIZED-AI-REVENUE</t>
  </si>
  <si>
    <t>GOOG Q2 25 Annualized AI revenue</t>
  </si>
  <si>
    <t>GOOG-Q225-FORWARD-ROIC</t>
  </si>
  <si>
    <t>GOOG Q2 25 Forward ROIC</t>
  </si>
  <si>
    <t>GOOG-Q225-SPREAD</t>
  </si>
  <si>
    <t>GOOG Q2 25 Spread</t>
  </si>
  <si>
    <t>GOOG-Q325-ANNUALIZED-AI-CAPEX</t>
  </si>
  <si>
    <t>GOOG Q3 25 Annualized AI capex</t>
  </si>
  <si>
    <t>GOOG-Q325-ANNUALIZED-AI-REVENUE</t>
  </si>
  <si>
    <t>GOOG Q3 25 Annualized AI revenue</t>
  </si>
  <si>
    <t>GOOG-Q325-FORWARD-ROIC</t>
  </si>
  <si>
    <t>GOOG Q3 25 Forward ROIC</t>
  </si>
  <si>
    <t>GOOG-Q325-SPREAD</t>
  </si>
  <si>
    <t>GOOG Q3 25 Spread</t>
  </si>
  <si>
    <t>GOOG-Q425-ANNUALIZED-AI-CAPEX</t>
  </si>
  <si>
    <t>GOOG Q4 25 Annualized AI capex</t>
  </si>
  <si>
    <t>GOOG-Q425-ANNUALIZED-AI-REVENUE</t>
  </si>
  <si>
    <t>GOOG Q4 25 Annualized AI revenue</t>
  </si>
  <si>
    <t>GOOG-Q425-FORWARD-ROIC</t>
  </si>
  <si>
    <t>GOOG Q4 25 Forward ROIC</t>
  </si>
  <si>
    <t>GOOG-Q425-SPREAD</t>
  </si>
  <si>
    <t>GOOG Q4 25 Spread</t>
  </si>
  <si>
    <t>GOOG-Q126-ANNUALIZED-AI-CAPEX</t>
  </si>
  <si>
    <t>GOOG Q1 26 Annualized AI capex</t>
  </si>
  <si>
    <t>GOOG-Q126-ANNUALIZED-AI-REVENUE</t>
  </si>
  <si>
    <t>GOOG Q1 26 Annualized AI revenue</t>
  </si>
  <si>
    <t>GOOG-Q126-FORWARD-ROIC</t>
  </si>
  <si>
    <t>GOOG Q1 26 Forward ROIC</t>
  </si>
  <si>
    <t>GOOG-Q126-SPREAD</t>
  </si>
  <si>
    <t>GOOG Q1 26 Spread</t>
  </si>
  <si>
    <t>GOOG-Q226-ANNUALIZED-AI-CAPEX</t>
  </si>
  <si>
    <t>GOOG Q2 26 Annualized AI capex</t>
  </si>
  <si>
    <t>GOOG-Q226-ANNUALIZED-AI-REVENUE</t>
  </si>
  <si>
    <t>GOOG Q2 26 Annualized AI revenue</t>
  </si>
  <si>
    <t>GOOG-Q226-FORWARD-ROIC</t>
  </si>
  <si>
    <t>GOOG Q2 26 Forward ROIC</t>
  </si>
  <si>
    <t>GOOG-Q226-SPREAD</t>
  </si>
  <si>
    <t>GOOG Q2 26 Spread</t>
  </si>
  <si>
    <t>GOOG-SNAPSHOT-ANNUALIZED-AI-REVENUE</t>
  </si>
  <si>
    <t>GOOG Snapshot annualized AI revenue</t>
  </si>
  <si>
    <t>GOOG-SNAPSHOT-AI-CAPEX</t>
  </si>
  <si>
    <t>GOOG Snapshot AI capex</t>
  </si>
  <si>
    <t>GOOG-SNAPSHOT-BASE-ROIC</t>
  </si>
  <si>
    <t>GOOG Snapshot base ROIC</t>
  </si>
  <si>
    <t>GOOG-SNAPSHOT-BASE-SPREAD</t>
  </si>
  <si>
    <t>GOOG Snapshot base spread</t>
  </si>
  <si>
    <t>GOOG-SNAPSHOT-BEAR-SPREAD</t>
  </si>
  <si>
    <t>GOOG Snapshot bear spread</t>
  </si>
  <si>
    <t>GOOG-SNAPSHOT-BULL-SPREAD</t>
  </si>
  <si>
    <t>GOOG Snapshot bull spread</t>
  </si>
  <si>
    <t>GOOG-DELTA-SPREAD-BPS</t>
  </si>
  <si>
    <t>GOOG displayed-window spread change in bps</t>
  </si>
  <si>
    <t>AMZN-Q225-ANNUALIZED-AI-CAPEX</t>
  </si>
  <si>
    <t>AMZN Q2 25 Annualized AI capex</t>
  </si>
  <si>
    <t>AMZN-Q225-ANNUALIZED-AI-REVENUE</t>
  </si>
  <si>
    <t>AMZN Q2 25 Annualized AI revenue</t>
  </si>
  <si>
    <t>AMZN-Q225-FORWARD-ROIC</t>
  </si>
  <si>
    <t>AMZN Q2 25 Forward ROIC</t>
  </si>
  <si>
    <t>AMZN-Q225-SPREAD</t>
  </si>
  <si>
    <t>AMZN Q2 25 Spread</t>
  </si>
  <si>
    <t>AMZN-Q325-ANNUALIZED-AI-CAPEX</t>
  </si>
  <si>
    <t>AMZN Q3 25 Annualized AI capex</t>
  </si>
  <si>
    <t>AMZN-Q325-ANNUALIZED-AI-REVENUE</t>
  </si>
  <si>
    <t>AMZN Q3 25 Annualized AI revenue</t>
  </si>
  <si>
    <t>AMZN-Q325-FORWARD-ROIC</t>
  </si>
  <si>
    <t>AMZN Q3 25 Forward ROIC</t>
  </si>
  <si>
    <t>AMZN-Q325-SPREAD</t>
  </si>
  <si>
    <t>AMZN Q3 25 Spread</t>
  </si>
  <si>
    <t>AMZN-Q425-ANNUALIZED-AI-CAPEX</t>
  </si>
  <si>
    <t>AMZN Q4 25 Annualized AI capex</t>
  </si>
  <si>
    <t>AMZN-Q425-ANNUALIZED-AI-REVENUE</t>
  </si>
  <si>
    <t>AMZN Q4 25 Annualized AI revenue</t>
  </si>
  <si>
    <t>AMZN-Q425-FORWARD-ROIC</t>
  </si>
  <si>
    <t>AMZN Q4 25 Forward ROIC</t>
  </si>
  <si>
    <t>AMZN-Q425-SPREAD</t>
  </si>
  <si>
    <t>AMZN Q4 25 Spread</t>
  </si>
  <si>
    <t>AMZN-Q126-ANNUALIZED-AI-CAPEX</t>
  </si>
  <si>
    <t>AMZN Q1 26 Annualized AI capex</t>
  </si>
  <si>
    <t>AMZN-Q126-ANNUALIZED-AI-REVENUE</t>
  </si>
  <si>
    <t>AMZN Q1 26 Annualized AI revenue</t>
  </si>
  <si>
    <t>AMZN-Q126-FORWARD-ROIC</t>
  </si>
  <si>
    <t>AMZN Q1 26 Forward ROIC</t>
  </si>
  <si>
    <t>AMZN-Q126-SPREAD</t>
  </si>
  <si>
    <t>AMZN Q1 26 Spread</t>
  </si>
  <si>
    <t>AMZN-Q226-ANNUALIZED-AI-CAPEX</t>
  </si>
  <si>
    <t>AMZN Q2 26 Annualized AI capex</t>
  </si>
  <si>
    <t>AMZN-Q226-ANNUALIZED-AI-REVENUE</t>
  </si>
  <si>
    <t>AMZN Q2 26 Annualized AI revenue</t>
  </si>
  <si>
    <t>AMZN-Q226-FORWARD-ROIC</t>
  </si>
  <si>
    <t>AMZN Q2 26 Forward ROIC</t>
  </si>
  <si>
    <t>AMZN-Q226-SPREAD</t>
  </si>
  <si>
    <t>AMZN Q2 26 Spread</t>
  </si>
  <si>
    <t>AMZN-SNAPSHOT-ANNUALIZED-AI-REVENUE</t>
  </si>
  <si>
    <t>AMZN Snapshot annualized AI revenue</t>
  </si>
  <si>
    <t>AMZN-SNAPSHOT-AI-CAPEX</t>
  </si>
  <si>
    <t>AMZN Snapshot AI capex</t>
  </si>
  <si>
    <t>AMZN-SNAPSHOT-BASE-ROIC</t>
  </si>
  <si>
    <t>AMZN Snapshot base ROIC</t>
  </si>
  <si>
    <t>AMZN-SNAPSHOT-BASE-SPREAD</t>
  </si>
  <si>
    <t>AMZN Snapshot base spread</t>
  </si>
  <si>
    <t>AMZN-SNAPSHOT-BEAR-SPREAD</t>
  </si>
  <si>
    <t>AMZN Snapshot bear spread</t>
  </si>
  <si>
    <t>AMZN-SNAPSHOT-BULL-SPREAD</t>
  </si>
  <si>
    <t>AMZN Snapshot bull spread</t>
  </si>
  <si>
    <t>AMZN-DELTA-SPREAD-BPS</t>
  </si>
  <si>
    <t>AMZN displayed-window spread change in bps</t>
  </si>
  <si>
    <t>ORCL-Q225-ANNUALIZED-AI-CAPEX</t>
  </si>
  <si>
    <t>ORCL Q2 25 Annualized AI capex</t>
  </si>
  <si>
    <t>ORCL-Q225-ANNUALIZED-AI-REVENUE</t>
  </si>
  <si>
    <t>ORCL Q2 25 Annualized AI revenue</t>
  </si>
  <si>
    <t>ORCL-Q225-FORWARD-ROIC</t>
  </si>
  <si>
    <t>ORCL Q2 25 Forward ROIC</t>
  </si>
  <si>
    <t>ORCL-Q225-SPREAD</t>
  </si>
  <si>
    <t>ORCL Q2 25 Spread</t>
  </si>
  <si>
    <t>ORCL-Q325-ANNUALIZED-AI-CAPEX</t>
  </si>
  <si>
    <t>ORCL Q3 25 Annualized AI capex</t>
  </si>
  <si>
    <t>ORCL-Q325-ANNUALIZED-AI-REVENUE</t>
  </si>
  <si>
    <t>ORCL Q3 25 Annualized AI revenue</t>
  </si>
  <si>
    <t>ORCL-Q325-FORWARD-ROIC</t>
  </si>
  <si>
    <t>ORCL Q3 25 Forward ROIC</t>
  </si>
  <si>
    <t>ORCL-Q325-SPREAD</t>
  </si>
  <si>
    <t>ORCL Q3 25 Spread</t>
  </si>
  <si>
    <t>ORCL-Q425-ANNUALIZED-AI-CAPEX</t>
  </si>
  <si>
    <t>ORCL Q4 25 Annualized AI capex</t>
  </si>
  <si>
    <t>ORCL-Q425-ANNUALIZED-AI-REVENUE</t>
  </si>
  <si>
    <t>ORCL Q4 25 Annualized AI revenue</t>
  </si>
  <si>
    <t>ORCL-Q425-FORWARD-ROIC</t>
  </si>
  <si>
    <t>ORCL Q4 25 Forward ROIC</t>
  </si>
  <si>
    <t>ORCL-Q425-SPREAD</t>
  </si>
  <si>
    <t>ORCL Q4 25 Spread</t>
  </si>
  <si>
    <t>ORCL-Q126-ANNUALIZED-AI-CAPEX</t>
  </si>
  <si>
    <t>ORCL Q1 26 Annualized AI capex</t>
  </si>
  <si>
    <t>ORCL-Q126-ANNUALIZED-AI-REVENUE</t>
  </si>
  <si>
    <t>ORCL Q1 26 Annualized AI revenue</t>
  </si>
  <si>
    <t>ORCL-Q126-FORWARD-ROIC</t>
  </si>
  <si>
    <t>ORCL Q1 26 Forward ROIC</t>
  </si>
  <si>
    <t>ORCL-Q126-SPREAD</t>
  </si>
  <si>
    <t>ORCL Q1 26 Spread</t>
  </si>
  <si>
    <t>ORCL-Q226-ANNUALIZED-AI-CAPEX</t>
  </si>
  <si>
    <t>ORCL Q2 26 Annualized AI capex</t>
  </si>
  <si>
    <t>ORCL-Q226-ANNUALIZED-AI-REVENUE</t>
  </si>
  <si>
    <t>ORCL Q2 26 Annualized AI revenue</t>
  </si>
  <si>
    <t>ORCL-Q226-FORWARD-ROIC</t>
  </si>
  <si>
    <t>ORCL Q2 26 Forward ROIC</t>
  </si>
  <si>
    <t>ORCL-Q226-SPREAD</t>
  </si>
  <si>
    <t>ORCL Q2 26 Spread</t>
  </si>
  <si>
    <t>ORCL-SNAPSHOT-ANNUALIZED-AI-REVENUE</t>
  </si>
  <si>
    <t>ORCL Snapshot annualized AI revenue</t>
  </si>
  <si>
    <t>ORCL-SNAPSHOT-AI-CAPEX</t>
  </si>
  <si>
    <t>ORCL Snapshot AI capex</t>
  </si>
  <si>
    <t>ORCL-SNAPSHOT-BASE-ROIC</t>
  </si>
  <si>
    <t>ORCL Snapshot base ROIC</t>
  </si>
  <si>
    <t>ORCL-SNAPSHOT-BASE-SPREAD</t>
  </si>
  <si>
    <t>ORCL Snapshot base spread</t>
  </si>
  <si>
    <t>ORCL-SNAPSHOT-BEAR-SPREAD</t>
  </si>
  <si>
    <t>ORCL Snapshot bear spread</t>
  </si>
  <si>
    <t>ORCL-SNAPSHOT-BULL-SPREAD</t>
  </si>
  <si>
    <t>ORCL Snapshot bull spread</t>
  </si>
  <si>
    <t>ORCL-DELTA-SPREAD-BPS</t>
  </si>
  <si>
    <t>ORCL displayed-window spread change in bps</t>
  </si>
  <si>
    <t>META-Q225-ANNUALIZED-AI-CAPEX</t>
  </si>
  <si>
    <t>META Q2 25 Annualized AI capex</t>
  </si>
  <si>
    <t>META-Q225-ANNUALIZED-AI-REVENUE</t>
  </si>
  <si>
    <t>META Q2 25 Annualized AI revenue</t>
  </si>
  <si>
    <t>META-Q225-FORWARD-ROIC</t>
  </si>
  <si>
    <t>META Q2 25 Forward ROIC</t>
  </si>
  <si>
    <t>META-Q225-SPREAD</t>
  </si>
  <si>
    <t>META Q2 25 Spread</t>
  </si>
  <si>
    <t>META-Q325-ANNUALIZED-AI-CAPEX</t>
  </si>
  <si>
    <t>META Q3 25 Annualized AI capex</t>
  </si>
  <si>
    <t>META-Q325-ANNUALIZED-AI-REVENUE</t>
  </si>
  <si>
    <t>META Q3 25 Annualized AI revenue</t>
  </si>
  <si>
    <t>META-Q325-FORWARD-ROIC</t>
  </si>
  <si>
    <t>META Q3 25 Forward ROIC</t>
  </si>
  <si>
    <t>META-Q325-SPREAD</t>
  </si>
  <si>
    <t>META Q3 25 Spread</t>
  </si>
  <si>
    <t>META-Q425-ANNUALIZED-AI-CAPEX</t>
  </si>
  <si>
    <t>META Q4 25 Annualized AI capex</t>
  </si>
  <si>
    <t>META-Q425-ANNUALIZED-AI-REVENUE</t>
  </si>
  <si>
    <t>META Q4 25 Annualized AI revenue</t>
  </si>
  <si>
    <t>META-Q425-FORWARD-ROIC</t>
  </si>
  <si>
    <t>META Q4 25 Forward ROIC</t>
  </si>
  <si>
    <t>META-Q425-SPREAD</t>
  </si>
  <si>
    <t>META Q4 25 Spread</t>
  </si>
  <si>
    <t>META-Q126-ANNUALIZED-AI-CAPEX</t>
  </si>
  <si>
    <t>META Q1 26 Annualized AI capex</t>
  </si>
  <si>
    <t>META-Q126-ANNUALIZED-AI-REVENUE</t>
  </si>
  <si>
    <t>META Q1 26 Annualized AI revenue</t>
  </si>
  <si>
    <t>META-Q126-FORWARD-ROIC</t>
  </si>
  <si>
    <t>META Q1 26 Forward ROIC</t>
  </si>
  <si>
    <t>META-Q126-SPREAD</t>
  </si>
  <si>
    <t>META Q1 26 Spread</t>
  </si>
  <si>
    <t>META-Q226-ANNUALIZED-AI-CAPEX</t>
  </si>
  <si>
    <t>META Q2 26 Annualized AI capex</t>
  </si>
  <si>
    <t>META-Q226-ANNUALIZED-AI-REVENUE</t>
  </si>
  <si>
    <t>META Q2 26 Annualized AI revenue</t>
  </si>
  <si>
    <t>META-Q226-FORWARD-ROIC</t>
  </si>
  <si>
    <t>META Q2 26 Forward ROIC</t>
  </si>
  <si>
    <t>META-Q226-SPREAD</t>
  </si>
  <si>
    <t>META Q2 26 Spread</t>
  </si>
  <si>
    <t>META-SNAPSHOT-ANNUALIZED-AI-REVENUE</t>
  </si>
  <si>
    <t>META Snapshot annualized AI revenue</t>
  </si>
  <si>
    <t>META-SNAPSHOT-AI-CAPEX</t>
  </si>
  <si>
    <t>META Snapshot AI capex</t>
  </si>
  <si>
    <t>META-SNAPSHOT-BASE-ROIC</t>
  </si>
  <si>
    <t>META Snapshot base ROIC</t>
  </si>
  <si>
    <t>META-SNAPSHOT-BASE-SPREAD</t>
  </si>
  <si>
    <t>META Snapshot base spread</t>
  </si>
  <si>
    <t>META-SNAPSHOT-BEAR-SPREAD</t>
  </si>
  <si>
    <t>META Snapshot bear spread</t>
  </si>
  <si>
    <t>META-SNAPSHOT-BULL-SPREAD</t>
  </si>
  <si>
    <t>META Snapshot bull spread</t>
  </si>
  <si>
    <t>META-DELTA-SPREAD-BPS</t>
  </si>
  <si>
    <t>META displayed-window spread change in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</si>
</sst>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mmm\ d\,\ yyyy"/>
    <numFmt numFmtId="166" formatCode="\$0.000"/>
    <numFmt numFmtId="167" formatCode="0.0%"/>
    <numFmt numFmtId="168" formatCode="0.0"/>
    <numFmt numFmtId="169" formatCode="\$0.0"/>
    <numFmt numFmtId="170" formatCode="\+0;\-0;0"/>
    <numFmt numFmtId="171" formatCode="\$0.0000"/>
    <numFmt numFmtId="172" formatCode="0.0000%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name val="Arial"/>
    </font>
    <font>
      <sz val="9"/>
      <color rgb="FF000000"/>
      <name val="Arial"/>
    </font>
    <font>
      <sz val="9"/>
      <color rgb="FF0000FF"/>
      <name val="Arial"/>
    </font>
    <font>
      <u/>
      <sz val="9"/>
      <color rgb="FF0000FF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vertical="top" wrapText="1"/>
    </xf>
    <xf numFmtId="169" fontId="4" fillId="4" borderId="2" xfId="0" applyNumberFormat="1" applyFont="1" applyFill="1" applyBorder="1" applyAlignment="1">
      <alignment vertical="top" wrapText="1"/>
    </xf>
    <xf numFmtId="169" fontId="3" fillId="0" borderId="2" xfId="0" applyNumberFormat="1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167" fontId="3" fillId="0" borderId="2" xfId="0" applyNumberFormat="1" applyFont="1" applyBorder="1" applyAlignment="1">
      <alignment vertical="top" wrapText="1"/>
    </xf>
    <xf numFmtId="167" fontId="3" fillId="5" borderId="2" xfId="0" applyNumberFormat="1" applyFont="1" applyFill="1" applyBorder="1" applyAlignment="1">
      <alignment vertical="top" wrapText="1"/>
    </xf>
    <xf numFmtId="168" fontId="3" fillId="5" borderId="2" xfId="0" applyNumberFormat="1" applyFont="1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167" fontId="4" fillId="4" borderId="2" xfId="0" applyNumberFormat="1" applyFont="1" applyFill="1" applyBorder="1" applyAlignment="1">
      <alignment vertical="top" wrapText="1"/>
    </xf>
    <xf numFmtId="170" fontId="3" fillId="0" borderId="2" xfId="0" applyNumberFormat="1" applyFont="1" applyBorder="1" applyAlignment="1">
      <alignment vertical="top" wrapText="1"/>
    </xf>
    <xf numFmtId="165" fontId="3" fillId="0" borderId="2" xfId="0" applyNumberFormat="1" applyFont="1" applyBorder="1" applyAlignment="1">
      <alignment vertical="top" wrapText="1"/>
    </xf>
    <xf numFmtId="166" fontId="5" fillId="4" borderId="2" xfId="0" applyNumberFormat="1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167" fontId="5" fillId="4" borderId="2" xfId="0" applyNumberFormat="1" applyFont="1" applyFill="1" applyBorder="1" applyAlignment="1">
      <alignment vertical="top" wrapText="1"/>
    </xf>
    <xf numFmtId="169" fontId="5" fillId="4" borderId="2" xfId="0" applyNumberFormat="1" applyFont="1" applyFill="1" applyBorder="1" applyAlignment="1">
      <alignment vertical="top" wrapText="1"/>
    </xf>
    <xf numFmtId="166" fontId="4" fillId="4" borderId="2" xfId="0" applyNumberFormat="1" applyFont="1" applyFill="1" applyBorder="1" applyAlignment="1">
      <alignment vertical="top" wrapText="1"/>
    </xf>
    <xf numFmtId="10" fontId="4" fillId="4" borderId="2" xfId="0" applyNumberFormat="1" applyFont="1" applyFill="1" applyBorder="1" applyAlignment="1">
      <alignment vertical="top" wrapText="1"/>
    </xf>
    <xf numFmtId="171" fontId="3" fillId="0" borderId="2" xfId="0" applyNumberFormat="1" applyFont="1" applyBorder="1" applyAlignment="1">
      <alignment vertical="top" wrapText="1"/>
    </xf>
    <xf numFmtId="172" fontId="3" fillId="0" borderId="2" xfId="0" applyNumberFormat="1" applyFont="1" applyBorder="1" applyAlignment="1">
      <alignment vertical="top" wrapText="1"/>
    </xf>
    <xf numFmtId="2" fontId="3" fillId="0" borderId="2" xfId="0" applyNumberFormat="1" applyFont="1" applyBorder="1" applyAlignment="1">
      <alignment vertical="top" wrapText="1"/>
    </xf>
    <xf numFmtId="0" fontId="2" fillId="5" borderId="0" xfId="0" applyFont="1" applyFill="1" applyAlignment="1">
      <alignment wrapText="1"/>
    </xf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wrapText="1"/>
    </xf>
    <xf numFmtId="0" fontId="3" fillId="3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</cellXfs>
  <cellStyles count="1">
    <cellStyle name="Normal" xfId="0" builtinId="0"/>
  </cellStyles>
  <dxfs count="20"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ec.gov/Archives/edgar/data/1652044/000165204426000018/goog-20251231.htm" TargetMode="External"/><Relationship Id="rId18" Type="http://schemas.openxmlformats.org/officeDocument/2006/relationships/hyperlink" Target="https://www.sec.gov/Archives/edgar/data/1652044/000165204426000018/goog-20251231.htm" TargetMode="External"/><Relationship Id="rId26" Type="http://schemas.openxmlformats.org/officeDocument/2006/relationships/hyperlink" Target="https://www.sec.gov/Archives/edgar/data/1018724/000101872425000086/amzn-20250630.htm" TargetMode="External"/><Relationship Id="rId39" Type="http://schemas.openxmlformats.org/officeDocument/2006/relationships/hyperlink" Target="https://www.sec.gov/Archives/edgar/data/1341439/000119312526101045/orcl-20260228.htm" TargetMode="External"/><Relationship Id="rId21" Type="http://schemas.openxmlformats.org/officeDocument/2006/relationships/hyperlink" Target="https://www.sec.gov/Archives/edgar/data/1018724/000101872425000086/amzn-20250630.htm" TargetMode="External"/><Relationship Id="rId34" Type="http://schemas.openxmlformats.org/officeDocument/2006/relationships/hyperlink" Target="https://www.sec.gov/Archives/edgar/data/1341439/000119312526101045/orcl-20260228.htm" TargetMode="External"/><Relationship Id="rId42" Type="http://schemas.openxmlformats.org/officeDocument/2006/relationships/hyperlink" Target="https://www.sec.gov/Archives/edgar/data/1326801/000162828025047240/meta-20250930.htm" TargetMode="External"/><Relationship Id="rId47" Type="http://schemas.openxmlformats.org/officeDocument/2006/relationships/hyperlink" Target="https://www.sec.gov/Archives/edgar/data/1326801/000162828025047240/meta-20250930.htm" TargetMode="External"/><Relationship Id="rId50" Type="http://schemas.openxmlformats.org/officeDocument/2006/relationships/hyperlink" Target="https://www.sec.gov/Archives/edgar/data/1326801/000162828026050705/meta-20260630.htm" TargetMode="External"/><Relationship Id="rId7" Type="http://schemas.openxmlformats.org/officeDocument/2006/relationships/hyperlink" Target="https://www.microsoft.com/en-us/Investor/earnings/FY-2026-Q1/press-release-webcast" TargetMode="External"/><Relationship Id="rId2" Type="http://schemas.openxmlformats.org/officeDocument/2006/relationships/hyperlink" Target="https://www.sec.gov/Archives/edgar/data/789019/000119312525256321/msft-20250930.htm" TargetMode="External"/><Relationship Id="rId16" Type="http://schemas.openxmlformats.org/officeDocument/2006/relationships/hyperlink" Target="https://www.sec.gov/Archives/edgar/data/1652044/000165204425000062/goog-20250630.htm" TargetMode="External"/><Relationship Id="rId29" Type="http://schemas.openxmlformats.org/officeDocument/2006/relationships/hyperlink" Target="https://www.sec.gov/Archives/edgar/data/1018724/000101872426000014/amzn-20260331.htm" TargetMode="External"/><Relationship Id="rId11" Type="http://schemas.openxmlformats.org/officeDocument/2006/relationships/hyperlink" Target="https://www.sec.gov/Archives/edgar/data/1652044/000165204425000062/goog-20250630.htm" TargetMode="External"/><Relationship Id="rId24" Type="http://schemas.openxmlformats.org/officeDocument/2006/relationships/hyperlink" Target="https://www.sec.gov/Archives/edgar/data/1018724/000101872426000014/amzn-20260331.htm" TargetMode="External"/><Relationship Id="rId32" Type="http://schemas.openxmlformats.org/officeDocument/2006/relationships/hyperlink" Target="https://www.sec.gov/Archives/edgar/data/1341439/000119312525200095/orcl-20250831.htm" TargetMode="External"/><Relationship Id="rId37" Type="http://schemas.openxmlformats.org/officeDocument/2006/relationships/hyperlink" Target="https://www.sec.gov/Archives/edgar/data/1341439/000119312525200095/orcl-20250831.htm" TargetMode="External"/><Relationship Id="rId40" Type="http://schemas.openxmlformats.org/officeDocument/2006/relationships/hyperlink" Target="https://www.sec.gov/Archives/edgar/data/1341439/000119312526277521/orcl-20260531.htm" TargetMode="External"/><Relationship Id="rId45" Type="http://schemas.openxmlformats.org/officeDocument/2006/relationships/hyperlink" Target="https://www.sec.gov/Archives/edgar/data/1326801/000162828026050705/meta-20260630.htm" TargetMode="External"/><Relationship Id="rId5" Type="http://schemas.openxmlformats.org/officeDocument/2006/relationships/hyperlink" Target="https://www.sec.gov/Archives/edgar/data/789019/000119312526323660/msft-20260630.htm" TargetMode="External"/><Relationship Id="rId15" Type="http://schemas.openxmlformats.org/officeDocument/2006/relationships/hyperlink" Target="https://www.sec.gov/Archives/edgar/data/1652044/000165204426000071/goog-20260630.htm" TargetMode="External"/><Relationship Id="rId23" Type="http://schemas.openxmlformats.org/officeDocument/2006/relationships/hyperlink" Target="https://www.sec.gov/Archives/edgar/data/1018724/000101872426000004/amzn-20251231.htm" TargetMode="External"/><Relationship Id="rId28" Type="http://schemas.openxmlformats.org/officeDocument/2006/relationships/hyperlink" Target="https://www.sec.gov/Archives/edgar/data/1018724/000101872426000004/amzn-20251231.htm" TargetMode="External"/><Relationship Id="rId36" Type="http://schemas.openxmlformats.org/officeDocument/2006/relationships/hyperlink" Target="https://www.sec.gov/Archives/edgar/data/1341439/000095017025087926/orcl-20250531.htm" TargetMode="External"/><Relationship Id="rId49" Type="http://schemas.openxmlformats.org/officeDocument/2006/relationships/hyperlink" Target="https://www.sec.gov/Archives/edgar/data/1326801/000162828026028526/meta-20260331.htm" TargetMode="External"/><Relationship Id="rId10" Type="http://schemas.openxmlformats.org/officeDocument/2006/relationships/hyperlink" Target="https://www.microsoft.com/en-us/investor/events/fy-2026/earnings-fy-2026-q4" TargetMode="External"/><Relationship Id="rId19" Type="http://schemas.openxmlformats.org/officeDocument/2006/relationships/hyperlink" Target="https://www.sec.gov/Archives/edgar/data/1652044/000165204426000048/goog-20260331.htm" TargetMode="External"/><Relationship Id="rId31" Type="http://schemas.openxmlformats.org/officeDocument/2006/relationships/hyperlink" Target="https://www.sec.gov/Archives/edgar/data/1341439/000095017025087926/orcl-20250531.htm" TargetMode="External"/><Relationship Id="rId44" Type="http://schemas.openxmlformats.org/officeDocument/2006/relationships/hyperlink" Target="https://www.sec.gov/Archives/edgar/data/1326801/000162828026028526/meta-20260331.htm" TargetMode="External"/><Relationship Id="rId52" Type="http://schemas.openxmlformats.org/officeDocument/2006/relationships/comments" Target="../comments1.xml"/><Relationship Id="rId4" Type="http://schemas.openxmlformats.org/officeDocument/2006/relationships/hyperlink" Target="https://www.sec.gov/Archives/edgar/data/789019/000119312526191507/msft-20260331.htm" TargetMode="External"/><Relationship Id="rId9" Type="http://schemas.openxmlformats.org/officeDocument/2006/relationships/hyperlink" Target="https://www.microsoft.com/en-us/Investor/earnings/FY-2026-Q3/press-release-webcast" TargetMode="External"/><Relationship Id="rId14" Type="http://schemas.openxmlformats.org/officeDocument/2006/relationships/hyperlink" Target="https://www.sec.gov/Archives/edgar/data/1652044/000165204426000048/goog-20260331.htm" TargetMode="External"/><Relationship Id="rId22" Type="http://schemas.openxmlformats.org/officeDocument/2006/relationships/hyperlink" Target="https://www.sec.gov/Archives/edgar/data/1018724/000101872425000123/amzn-20250930.htm" TargetMode="External"/><Relationship Id="rId27" Type="http://schemas.openxmlformats.org/officeDocument/2006/relationships/hyperlink" Target="https://www.sec.gov/Archives/edgar/data/1018724/000101872425000123/amzn-20250930.htm" TargetMode="External"/><Relationship Id="rId30" Type="http://schemas.openxmlformats.org/officeDocument/2006/relationships/hyperlink" Target="https://www.sec.gov/Archives/edgar/data/1018724/000101872426000026/amzn-20260630.htm" TargetMode="External"/><Relationship Id="rId35" Type="http://schemas.openxmlformats.org/officeDocument/2006/relationships/hyperlink" Target="https://www.sec.gov/Archives/edgar/data/1341439/000119312526277521/orcl-20260531.htm" TargetMode="External"/><Relationship Id="rId43" Type="http://schemas.openxmlformats.org/officeDocument/2006/relationships/hyperlink" Target="https://www.sec.gov/Archives/edgar/data/1326801/000162828026003942/meta-20251231.htm" TargetMode="External"/><Relationship Id="rId48" Type="http://schemas.openxmlformats.org/officeDocument/2006/relationships/hyperlink" Target="https://www.sec.gov/Archives/edgar/data/1326801/000162828026003942/meta-20251231.htm" TargetMode="External"/><Relationship Id="rId8" Type="http://schemas.openxmlformats.org/officeDocument/2006/relationships/hyperlink" Target="https://www.microsoft.com/en-us/Investor/earnings/FY-2026-Q2/press-release-webcast" TargetMode="External"/><Relationship Id="rId51" Type="http://schemas.openxmlformats.org/officeDocument/2006/relationships/vmlDrawing" Target="../drawings/vmlDrawing1.vml"/><Relationship Id="rId3" Type="http://schemas.openxmlformats.org/officeDocument/2006/relationships/hyperlink" Target="https://www.sec.gov/Archives/edgar/data/789019/000119312526027207/msft-20251231.htm" TargetMode="External"/><Relationship Id="rId12" Type="http://schemas.openxmlformats.org/officeDocument/2006/relationships/hyperlink" Target="https://www.sec.gov/Archives/edgar/data/1652044/000165204425000091/goog-20250930.htm" TargetMode="External"/><Relationship Id="rId17" Type="http://schemas.openxmlformats.org/officeDocument/2006/relationships/hyperlink" Target="https://www.sec.gov/Archives/edgar/data/1652044/000165204425000091/goog-20250930.htm" TargetMode="External"/><Relationship Id="rId25" Type="http://schemas.openxmlformats.org/officeDocument/2006/relationships/hyperlink" Target="https://www.sec.gov/Archives/edgar/data/1018724/000101872426000026/amzn-20260630.htm" TargetMode="External"/><Relationship Id="rId33" Type="http://schemas.openxmlformats.org/officeDocument/2006/relationships/hyperlink" Target="https://www.sec.gov/Archives/edgar/data/1341439/000119312525315925/orcl-20251130.htm" TargetMode="External"/><Relationship Id="rId38" Type="http://schemas.openxmlformats.org/officeDocument/2006/relationships/hyperlink" Target="https://www.sec.gov/Archives/edgar/data/1341439/000119312525315925/orcl-20251130.htm" TargetMode="External"/><Relationship Id="rId46" Type="http://schemas.openxmlformats.org/officeDocument/2006/relationships/hyperlink" Target="https://www.sec.gov/Archives/edgar/data/1326801/000162828025036791/meta-20250630.htm" TargetMode="External"/><Relationship Id="rId20" Type="http://schemas.openxmlformats.org/officeDocument/2006/relationships/hyperlink" Target="https://www.sec.gov/Archives/edgar/data/1652044/000165204426000071/goog-20260630.htm" TargetMode="External"/><Relationship Id="rId41" Type="http://schemas.openxmlformats.org/officeDocument/2006/relationships/hyperlink" Target="https://www.sec.gov/Archives/edgar/data/1326801/000162828025036791/meta-20250630.htm" TargetMode="External"/><Relationship Id="rId1" Type="http://schemas.openxmlformats.org/officeDocument/2006/relationships/hyperlink" Target="https://www.sec.gov/Archives/edgar/data/789019/000095017025100235/msft-20250630.htm" TargetMode="External"/><Relationship Id="rId6" Type="http://schemas.openxmlformats.org/officeDocument/2006/relationships/hyperlink" Target="https://www.microsoft.com/en-us/Investor/earnings/FY-2025-Q4/press-release-webcas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c.gov/Archives/edgar/data/1018724/000101872426000002/amzn-20251231xex991.htm" TargetMode="External"/><Relationship Id="rId13" Type="http://schemas.openxmlformats.org/officeDocument/2006/relationships/hyperlink" Target="https://pages.stern.nyu.edu/~adamodar/New_Home_Page/datafile/wacc.html" TargetMode="External"/><Relationship Id="rId3" Type="http://schemas.openxmlformats.org/officeDocument/2006/relationships/hyperlink" Target="https://www.sec.gov/Archives/edgar/data/1018724/000101872426000026/amzn-20260630.htm" TargetMode="External"/><Relationship Id="rId7" Type="http://schemas.openxmlformats.org/officeDocument/2006/relationships/hyperlink" Target="https://abc.xyz/investor/events/event-details/2026/2026-Q2-Earnings-Call-2026-GgTAq7Is0z/default.aspx" TargetMode="External"/><Relationship Id="rId12" Type="http://schemas.openxmlformats.org/officeDocument/2006/relationships/hyperlink" Target="https://pages.stern.nyu.edu/~adamodar/New_Home_Page/datafile/wacc.html" TargetMode="External"/><Relationship Id="rId17" Type="http://schemas.openxmlformats.org/officeDocument/2006/relationships/comments" Target="../comments2.xml"/><Relationship Id="rId2" Type="http://schemas.openxmlformats.org/officeDocument/2006/relationships/hyperlink" Target="https://www.sec.gov/Archives/edgar/data/1652044/000165204426000071/goog-20260630.htm" TargetMode="External"/><Relationship Id="rId16" Type="http://schemas.openxmlformats.org/officeDocument/2006/relationships/vmlDrawing" Target="../drawings/vmlDrawing2.vml"/><Relationship Id="rId1" Type="http://schemas.openxmlformats.org/officeDocument/2006/relationships/hyperlink" Target="https://www.sec.gov/Archives/edgar/data/789019/000119312526323660/msft-20260630.htm" TargetMode="External"/><Relationship Id="rId6" Type="http://schemas.openxmlformats.org/officeDocument/2006/relationships/hyperlink" Target="https://www.microsoft.com/en-us/investor/events/fy-2026/earnings-fy-2026-q4" TargetMode="External"/><Relationship Id="rId11" Type="http://schemas.openxmlformats.org/officeDocument/2006/relationships/hyperlink" Target="https://pages.stern.nyu.edu/~adamodar/New_Home_Page/datafile/wacc.html" TargetMode="External"/><Relationship Id="rId5" Type="http://schemas.openxmlformats.org/officeDocument/2006/relationships/hyperlink" Target="https://www.sec.gov/Archives/edgar/data/1326801/000162828026050705/meta-20260630.htm" TargetMode="External"/><Relationship Id="rId15" Type="http://schemas.openxmlformats.org/officeDocument/2006/relationships/hyperlink" Target="https://pages.stern.nyu.edu/~adamodar/New_Home_Page/datafile/wacc.html" TargetMode="External"/><Relationship Id="rId10" Type="http://schemas.openxmlformats.org/officeDocument/2006/relationships/hyperlink" Target="https://www.sec.gov/Archives/edgar/data/1326801/000162828026050596/meta-06302026xexhibit991.htm" TargetMode="External"/><Relationship Id="rId4" Type="http://schemas.openxmlformats.org/officeDocument/2006/relationships/hyperlink" Target="https://www.sec.gov/Archives/edgar/data/1341439/000119312526277521/orcl-20260531.htm" TargetMode="External"/><Relationship Id="rId9" Type="http://schemas.openxmlformats.org/officeDocument/2006/relationships/hyperlink" Target="https://www.sec.gov/Archives/edgar/data/1341439/000119312526265848/orcl-ex99_1.htm" TargetMode="External"/><Relationship Id="rId14" Type="http://schemas.openxmlformats.org/officeDocument/2006/relationships/hyperlink" Target="https://pages.stern.nyu.edu/~adamodar/New_Home_Page/datafile/wacc.html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pages.stern.nyu.edu/~adamodar/New_Home_Page/datafile/wacc.html" TargetMode="External"/><Relationship Id="rId117" Type="http://schemas.openxmlformats.org/officeDocument/2006/relationships/comments" Target="../comments3.xml"/><Relationship Id="rId21" Type="http://schemas.openxmlformats.org/officeDocument/2006/relationships/hyperlink" Target="https://www.sec.gov/Archives/edgar/data/1018724/000101872426000002/amzn-20251231xex991.htm" TargetMode="External"/><Relationship Id="rId42" Type="http://schemas.openxmlformats.org/officeDocument/2006/relationships/hyperlink" Target="https://www.sec.gov/Archives/edgar/data/1652044/000165204425000091/goog-20250930.htm" TargetMode="External"/><Relationship Id="rId47" Type="http://schemas.openxmlformats.org/officeDocument/2006/relationships/hyperlink" Target="https://www.sec.gov/Archives/edgar/data/1652044/000165204426000018/goog-20251231.htm" TargetMode="External"/><Relationship Id="rId63" Type="http://schemas.openxmlformats.org/officeDocument/2006/relationships/hyperlink" Target="https://www.sec.gov/Archives/edgar/data/1018724/000101872425000123/amzn-20250930.htm" TargetMode="External"/><Relationship Id="rId68" Type="http://schemas.openxmlformats.org/officeDocument/2006/relationships/hyperlink" Target="https://www.sec.gov/Archives/edgar/data/1018724/000101872426000014/amzn-20260331.htm" TargetMode="External"/><Relationship Id="rId84" Type="http://schemas.openxmlformats.org/officeDocument/2006/relationships/hyperlink" Target="https://www.sec.gov/Archives/edgar/data/1341439/000119312525315925/orcl-20251130.htm" TargetMode="External"/><Relationship Id="rId89" Type="http://schemas.openxmlformats.org/officeDocument/2006/relationships/hyperlink" Target="https://www.sec.gov/Archives/edgar/data/1341439/000119312526101045/orcl-20260228.htm" TargetMode="External"/><Relationship Id="rId112" Type="http://schemas.openxmlformats.org/officeDocument/2006/relationships/hyperlink" Target="https://www.sec.gov/Archives/edgar/data/1326801/000162828026050705/meta-20260630.htm" TargetMode="External"/><Relationship Id="rId16" Type="http://schemas.openxmlformats.org/officeDocument/2006/relationships/hyperlink" Target="https://www.microsoft.com/en-us/Investor/earnings/FY-2026-Q2/press-release-webcast" TargetMode="External"/><Relationship Id="rId107" Type="http://schemas.openxmlformats.org/officeDocument/2006/relationships/hyperlink" Target="https://www.sec.gov/Archives/edgar/data/1326801/000162828026003942/meta-20251231.htm" TargetMode="External"/><Relationship Id="rId11" Type="http://schemas.openxmlformats.org/officeDocument/2006/relationships/hyperlink" Target="https://www.microsoft.com/en-us/Investor/earnings/FY-2026-Q1/press-release-webcast" TargetMode="External"/><Relationship Id="rId32" Type="http://schemas.openxmlformats.org/officeDocument/2006/relationships/hyperlink" Target="https://www.microsoft.com/en-us/investor/events/fy-2026/earnings-fy-2026-q4" TargetMode="External"/><Relationship Id="rId37" Type="http://schemas.openxmlformats.org/officeDocument/2006/relationships/hyperlink" Target="https://www.sec.gov/Archives/edgar/data/1652044/000165204425000062/goog-20250630.htm" TargetMode="External"/><Relationship Id="rId53" Type="http://schemas.openxmlformats.org/officeDocument/2006/relationships/hyperlink" Target="https://www.sec.gov/Archives/edgar/data/1652044/000165204426000071/goog-20260630.htm" TargetMode="External"/><Relationship Id="rId58" Type="http://schemas.openxmlformats.org/officeDocument/2006/relationships/hyperlink" Target="https://www.sec.gov/Archives/edgar/data/1018724/000101872425000086/amzn-20250630.htm" TargetMode="External"/><Relationship Id="rId74" Type="http://schemas.openxmlformats.org/officeDocument/2006/relationships/hyperlink" Target="https://www.sec.gov/Archives/edgar/data/1018724/000101872426000026/amzn-20260630.htm" TargetMode="External"/><Relationship Id="rId79" Type="http://schemas.openxmlformats.org/officeDocument/2006/relationships/hyperlink" Target="https://www.sec.gov/Archives/edgar/data/1341439/000095017025087926/orcl-20250531.htm" TargetMode="External"/><Relationship Id="rId102" Type="http://schemas.openxmlformats.org/officeDocument/2006/relationships/hyperlink" Target="https://www.sec.gov/Archives/edgar/data/1326801/000162828025047240/meta-20250930.htm" TargetMode="External"/><Relationship Id="rId5" Type="http://schemas.openxmlformats.org/officeDocument/2006/relationships/hyperlink" Target="https://pages.stern.nyu.edu/~adamodar/New_Home_Page/datafile/wacc.html" TargetMode="External"/><Relationship Id="rId90" Type="http://schemas.openxmlformats.org/officeDocument/2006/relationships/hyperlink" Target="https://www.sec.gov/Archives/edgar/data/1341439/000119312526101045/orcl-20260228.htm" TargetMode="External"/><Relationship Id="rId95" Type="http://schemas.openxmlformats.org/officeDocument/2006/relationships/hyperlink" Target="https://www.sec.gov/Archives/edgar/data/1341439/000119312526277521/orcl-20260531.htm" TargetMode="External"/><Relationship Id="rId22" Type="http://schemas.openxmlformats.org/officeDocument/2006/relationships/hyperlink" Target="https://www.sec.gov/Archives/edgar/data/789019/000119312526191507/msft-20260331.htm" TargetMode="External"/><Relationship Id="rId27" Type="http://schemas.openxmlformats.org/officeDocument/2006/relationships/hyperlink" Target="https://www.sec.gov/Archives/edgar/data/1341439/000119312526265848/orcl-ex99_1.htm" TargetMode="External"/><Relationship Id="rId43" Type="http://schemas.openxmlformats.org/officeDocument/2006/relationships/hyperlink" Target="https://www.sec.gov/Archives/edgar/data/1652044/000165204425000091/goog-20250930.htm" TargetMode="External"/><Relationship Id="rId48" Type="http://schemas.openxmlformats.org/officeDocument/2006/relationships/hyperlink" Target="https://www.sec.gov/Archives/edgar/data/1652044/000165204426000048/goog-20260331.htm" TargetMode="External"/><Relationship Id="rId64" Type="http://schemas.openxmlformats.org/officeDocument/2006/relationships/hyperlink" Target="https://www.sec.gov/Archives/edgar/data/1018724/000101872426000004/amzn-20251231.htm" TargetMode="External"/><Relationship Id="rId69" Type="http://schemas.openxmlformats.org/officeDocument/2006/relationships/hyperlink" Target="https://www.sec.gov/Archives/edgar/data/1018724/000101872426000014/amzn-20260331.htm" TargetMode="External"/><Relationship Id="rId113" Type="http://schemas.openxmlformats.org/officeDocument/2006/relationships/hyperlink" Target="https://www.sec.gov/Archives/edgar/data/1326801/000162828026050705/meta-20260630.htm" TargetMode="External"/><Relationship Id="rId80" Type="http://schemas.openxmlformats.org/officeDocument/2006/relationships/hyperlink" Target="https://www.sec.gov/Archives/edgar/data/1341439/000119312525200095/orcl-20250831.htm" TargetMode="External"/><Relationship Id="rId85" Type="http://schemas.openxmlformats.org/officeDocument/2006/relationships/hyperlink" Target="https://www.sec.gov/Archives/edgar/data/1341439/000119312525315925/orcl-20251130.htm" TargetMode="External"/><Relationship Id="rId12" Type="http://schemas.openxmlformats.org/officeDocument/2006/relationships/hyperlink" Target="https://pages.stern.nyu.edu/~adamodar/New_Home_Page/datafile/wacc.html" TargetMode="External"/><Relationship Id="rId17" Type="http://schemas.openxmlformats.org/officeDocument/2006/relationships/hyperlink" Target="https://www.sec.gov/Archives/edgar/data/789019/000119312526027207/msft-20251231.htm" TargetMode="External"/><Relationship Id="rId33" Type="http://schemas.openxmlformats.org/officeDocument/2006/relationships/hyperlink" Target="https://pages.stern.nyu.edu/~adamodar/New_Home_Page/datafile/wacc.html" TargetMode="External"/><Relationship Id="rId38" Type="http://schemas.openxmlformats.org/officeDocument/2006/relationships/hyperlink" Target="https://www.sec.gov/Archives/edgar/data/1652044/000165204425000062/goog-20250630.htm" TargetMode="External"/><Relationship Id="rId59" Type="http://schemas.openxmlformats.org/officeDocument/2006/relationships/hyperlink" Target="https://www.sec.gov/Archives/edgar/data/1018724/000101872425000086/amzn-20250630.htm" TargetMode="External"/><Relationship Id="rId103" Type="http://schemas.openxmlformats.org/officeDocument/2006/relationships/hyperlink" Target="https://www.sec.gov/Archives/edgar/data/1326801/000162828025047240/meta-20250930.htm" TargetMode="External"/><Relationship Id="rId108" Type="http://schemas.openxmlformats.org/officeDocument/2006/relationships/hyperlink" Target="https://www.sec.gov/Archives/edgar/data/1326801/000162828026028526/meta-20260331.htm" TargetMode="External"/><Relationship Id="rId54" Type="http://schemas.openxmlformats.org/officeDocument/2006/relationships/hyperlink" Target="https://www.sec.gov/Archives/edgar/data/1652044/000165204426000071/goog-20260630.htm" TargetMode="External"/><Relationship Id="rId70" Type="http://schemas.openxmlformats.org/officeDocument/2006/relationships/hyperlink" Target="https://www.sec.gov/Archives/edgar/data/1018724/000101872426000014/amzn-20260331.htm" TargetMode="External"/><Relationship Id="rId75" Type="http://schemas.openxmlformats.org/officeDocument/2006/relationships/hyperlink" Target="https://www.sec.gov/Archives/edgar/data/1018724/000101872426000026/amzn-20260630.htm" TargetMode="External"/><Relationship Id="rId91" Type="http://schemas.openxmlformats.org/officeDocument/2006/relationships/hyperlink" Target="https://www.sec.gov/Archives/edgar/data/1341439/000119312526101045/orcl-20260228.htm" TargetMode="External"/><Relationship Id="rId96" Type="http://schemas.openxmlformats.org/officeDocument/2006/relationships/hyperlink" Target="https://www.sec.gov/Archives/edgar/data/1326801/000162828025036791/meta-20250630.htm" TargetMode="External"/><Relationship Id="rId1" Type="http://schemas.openxmlformats.org/officeDocument/2006/relationships/hyperlink" Target="https://www.sec.gov/Archives/edgar/data/789019/000095017025100235/msft-20250630.htm" TargetMode="External"/><Relationship Id="rId6" Type="http://schemas.openxmlformats.org/officeDocument/2006/relationships/hyperlink" Target="https://www.microsoft.com/en-us/investor/events/fy-2026/earnings-fy-2026-q4" TargetMode="External"/><Relationship Id="rId23" Type="http://schemas.openxmlformats.org/officeDocument/2006/relationships/hyperlink" Target="https://www.microsoft.com/en-us/Investor/earnings/FY-2026-Q3/press-release-webcast" TargetMode="External"/><Relationship Id="rId28" Type="http://schemas.openxmlformats.org/officeDocument/2006/relationships/hyperlink" Target="https://www.sec.gov/Archives/edgar/data/1341439/000119312526265848/orcl-ex99_1.htm" TargetMode="External"/><Relationship Id="rId49" Type="http://schemas.openxmlformats.org/officeDocument/2006/relationships/hyperlink" Target="https://www.sec.gov/Archives/edgar/data/1652044/000165204426000048/goog-20260331.htm" TargetMode="External"/><Relationship Id="rId114" Type="http://schemas.openxmlformats.org/officeDocument/2006/relationships/hyperlink" Target="https://www.sec.gov/Archives/edgar/data/1326801/000162828026050705/meta-20260630.htm" TargetMode="External"/><Relationship Id="rId10" Type="http://schemas.openxmlformats.org/officeDocument/2006/relationships/hyperlink" Target="https://www.sec.gov/Archives/edgar/data/789019/000119312525256321/msft-20250930.htm" TargetMode="External"/><Relationship Id="rId31" Type="http://schemas.openxmlformats.org/officeDocument/2006/relationships/hyperlink" Target="https://www.sec.gov/Archives/edgar/data/789019/000119312526323660/msft-20260630.htm" TargetMode="External"/><Relationship Id="rId44" Type="http://schemas.openxmlformats.org/officeDocument/2006/relationships/hyperlink" Target="https://www.sec.gov/Archives/edgar/data/1652044/000165204426000018/goog-20251231.htm" TargetMode="External"/><Relationship Id="rId52" Type="http://schemas.openxmlformats.org/officeDocument/2006/relationships/hyperlink" Target="https://www.sec.gov/Archives/edgar/data/1652044/000165204426000071/goog-20260630.htm" TargetMode="External"/><Relationship Id="rId60" Type="http://schemas.openxmlformats.org/officeDocument/2006/relationships/hyperlink" Target="https://www.sec.gov/Archives/edgar/data/1018724/000101872425000123/amzn-20250930.htm" TargetMode="External"/><Relationship Id="rId65" Type="http://schemas.openxmlformats.org/officeDocument/2006/relationships/hyperlink" Target="https://www.sec.gov/Archives/edgar/data/1018724/000101872426000004/amzn-20251231.htm" TargetMode="External"/><Relationship Id="rId73" Type="http://schemas.openxmlformats.org/officeDocument/2006/relationships/hyperlink" Target="https://www.sec.gov/Archives/edgar/data/1018724/000101872426000026/amzn-20260630.htm" TargetMode="External"/><Relationship Id="rId78" Type="http://schemas.openxmlformats.org/officeDocument/2006/relationships/hyperlink" Target="https://www.sec.gov/Archives/edgar/data/1341439/000095017025087926/orcl-20250531.htm" TargetMode="External"/><Relationship Id="rId81" Type="http://schemas.openxmlformats.org/officeDocument/2006/relationships/hyperlink" Target="https://www.sec.gov/Archives/edgar/data/1341439/000119312525200095/orcl-20250831.htm" TargetMode="External"/><Relationship Id="rId86" Type="http://schemas.openxmlformats.org/officeDocument/2006/relationships/hyperlink" Target="https://www.sec.gov/Archives/edgar/data/1341439/000119312525315925/orcl-20251130.htm" TargetMode="External"/><Relationship Id="rId94" Type="http://schemas.openxmlformats.org/officeDocument/2006/relationships/hyperlink" Target="https://www.sec.gov/Archives/edgar/data/1341439/000119312526277521/orcl-20260531.htm" TargetMode="External"/><Relationship Id="rId99" Type="http://schemas.openxmlformats.org/officeDocument/2006/relationships/hyperlink" Target="https://www.sec.gov/Archives/edgar/data/1326801/000162828025036791/meta-20250630.htm" TargetMode="External"/><Relationship Id="rId101" Type="http://schemas.openxmlformats.org/officeDocument/2006/relationships/hyperlink" Target="https://www.sec.gov/Archives/edgar/data/1326801/000162828025047240/meta-20250930.htm" TargetMode="External"/><Relationship Id="rId4" Type="http://schemas.openxmlformats.org/officeDocument/2006/relationships/hyperlink" Target="https://www.microsoft.com/en-us/Investor/earnings/FY-2025-Q4/press-release-webcast" TargetMode="External"/><Relationship Id="rId9" Type="http://schemas.openxmlformats.org/officeDocument/2006/relationships/hyperlink" Target="https://www.microsoft.com/en-us/Investor/earnings/FY-2026-Q1/press-release-webcast" TargetMode="External"/><Relationship Id="rId13" Type="http://schemas.openxmlformats.org/officeDocument/2006/relationships/hyperlink" Target="https://abc.xyz/investor/events/event-details/2026/2026-Q2-Earnings-Call-2026-GgTAq7Is0z/default.aspx" TargetMode="External"/><Relationship Id="rId18" Type="http://schemas.openxmlformats.org/officeDocument/2006/relationships/hyperlink" Target="https://www.microsoft.com/en-us/Investor/earnings/FY-2026-Q2/press-release-webcast" TargetMode="External"/><Relationship Id="rId39" Type="http://schemas.openxmlformats.org/officeDocument/2006/relationships/hyperlink" Target="https://www.sec.gov/Archives/edgar/data/1652044/000165204425000062/goog-20250630.htm" TargetMode="External"/><Relationship Id="rId109" Type="http://schemas.openxmlformats.org/officeDocument/2006/relationships/hyperlink" Target="https://www.sec.gov/Archives/edgar/data/1326801/000162828026028526/meta-20260331.htm" TargetMode="External"/><Relationship Id="rId34" Type="http://schemas.openxmlformats.org/officeDocument/2006/relationships/hyperlink" Target="https://www.sec.gov/Archives/edgar/data/1326801/000162828026050596/meta-06302026xexhibit991.htm" TargetMode="External"/><Relationship Id="rId50" Type="http://schemas.openxmlformats.org/officeDocument/2006/relationships/hyperlink" Target="https://www.sec.gov/Archives/edgar/data/1652044/000165204426000048/goog-20260331.htm" TargetMode="External"/><Relationship Id="rId55" Type="http://schemas.openxmlformats.org/officeDocument/2006/relationships/hyperlink" Target="https://www.sec.gov/Archives/edgar/data/1652044/000165204426000071/goog-20260630.htm" TargetMode="External"/><Relationship Id="rId76" Type="http://schemas.openxmlformats.org/officeDocument/2006/relationships/hyperlink" Target="https://www.sec.gov/Archives/edgar/data/1341439/000095017025087926/orcl-20250531.htm" TargetMode="External"/><Relationship Id="rId97" Type="http://schemas.openxmlformats.org/officeDocument/2006/relationships/hyperlink" Target="https://www.sec.gov/Archives/edgar/data/1326801/000162828025036791/meta-20250630.htm" TargetMode="External"/><Relationship Id="rId104" Type="http://schemas.openxmlformats.org/officeDocument/2006/relationships/hyperlink" Target="https://www.sec.gov/Archives/edgar/data/1326801/000162828026003942/meta-20251231.htm" TargetMode="External"/><Relationship Id="rId7" Type="http://schemas.openxmlformats.org/officeDocument/2006/relationships/hyperlink" Target="https://www.microsoft.com/en-us/investor/events/fy-2026/earnings-fy-2026-q4" TargetMode="External"/><Relationship Id="rId71" Type="http://schemas.openxmlformats.org/officeDocument/2006/relationships/hyperlink" Target="https://www.sec.gov/Archives/edgar/data/1018724/000101872426000014/amzn-20260331.htm" TargetMode="External"/><Relationship Id="rId92" Type="http://schemas.openxmlformats.org/officeDocument/2006/relationships/hyperlink" Target="https://www.sec.gov/Archives/edgar/data/1341439/000119312526277521/orcl-20260531.htm" TargetMode="External"/><Relationship Id="rId2" Type="http://schemas.openxmlformats.org/officeDocument/2006/relationships/hyperlink" Target="https://www.microsoft.com/en-us/Investor/earnings/FY-2025-Q4/press-release-webcast" TargetMode="External"/><Relationship Id="rId29" Type="http://schemas.openxmlformats.org/officeDocument/2006/relationships/hyperlink" Target="https://www.sec.gov/Archives/edgar/data/789019/000119312526323660/msft-20260630.htm" TargetMode="External"/><Relationship Id="rId24" Type="http://schemas.openxmlformats.org/officeDocument/2006/relationships/hyperlink" Target="https://www.sec.gov/Archives/edgar/data/789019/000119312526191507/msft-20260331.htm" TargetMode="External"/><Relationship Id="rId40" Type="http://schemas.openxmlformats.org/officeDocument/2006/relationships/hyperlink" Target="https://www.sec.gov/Archives/edgar/data/1652044/000165204425000091/goog-20250930.htm" TargetMode="External"/><Relationship Id="rId45" Type="http://schemas.openxmlformats.org/officeDocument/2006/relationships/hyperlink" Target="https://www.sec.gov/Archives/edgar/data/1652044/000165204426000018/goog-20251231.htm" TargetMode="External"/><Relationship Id="rId66" Type="http://schemas.openxmlformats.org/officeDocument/2006/relationships/hyperlink" Target="https://www.sec.gov/Archives/edgar/data/1018724/000101872426000004/amzn-20251231.htm" TargetMode="External"/><Relationship Id="rId87" Type="http://schemas.openxmlformats.org/officeDocument/2006/relationships/hyperlink" Target="https://www.sec.gov/Archives/edgar/data/1341439/000119312525315925/orcl-20251130.htm" TargetMode="External"/><Relationship Id="rId110" Type="http://schemas.openxmlformats.org/officeDocument/2006/relationships/hyperlink" Target="https://www.sec.gov/Archives/edgar/data/1326801/000162828026028526/meta-20260331.htm" TargetMode="External"/><Relationship Id="rId115" Type="http://schemas.openxmlformats.org/officeDocument/2006/relationships/hyperlink" Target="https://www.sec.gov/Archives/edgar/data/1326801/000162828026050705/meta-20260630.htm" TargetMode="External"/><Relationship Id="rId61" Type="http://schemas.openxmlformats.org/officeDocument/2006/relationships/hyperlink" Target="https://www.sec.gov/Archives/edgar/data/1018724/000101872425000123/amzn-20250930.htm" TargetMode="External"/><Relationship Id="rId82" Type="http://schemas.openxmlformats.org/officeDocument/2006/relationships/hyperlink" Target="https://www.sec.gov/Archives/edgar/data/1341439/000119312525200095/orcl-20250831.htm" TargetMode="External"/><Relationship Id="rId19" Type="http://schemas.openxmlformats.org/officeDocument/2006/relationships/hyperlink" Target="https://pages.stern.nyu.edu/~adamodar/New_Home_Page/datafile/wacc.html" TargetMode="External"/><Relationship Id="rId14" Type="http://schemas.openxmlformats.org/officeDocument/2006/relationships/hyperlink" Target="https://abc.xyz/investor/events/event-details/2026/2026-Q2-Earnings-Call-2026-GgTAq7Is0z/default.aspx" TargetMode="External"/><Relationship Id="rId30" Type="http://schemas.openxmlformats.org/officeDocument/2006/relationships/hyperlink" Target="https://www.microsoft.com/en-us/investor/events/fy-2026/earnings-fy-2026-q4" TargetMode="External"/><Relationship Id="rId35" Type="http://schemas.openxmlformats.org/officeDocument/2006/relationships/hyperlink" Target="https://www.sec.gov/Archives/edgar/data/1326801/000162828026050596/meta-06302026xexhibit991.htm" TargetMode="External"/><Relationship Id="rId56" Type="http://schemas.openxmlformats.org/officeDocument/2006/relationships/hyperlink" Target="https://www.sec.gov/Archives/edgar/data/1018724/000101872425000086/amzn-20250630.htm" TargetMode="External"/><Relationship Id="rId77" Type="http://schemas.openxmlformats.org/officeDocument/2006/relationships/hyperlink" Target="https://www.sec.gov/Archives/edgar/data/1341439/000095017025087926/orcl-20250531.htm" TargetMode="External"/><Relationship Id="rId100" Type="http://schemas.openxmlformats.org/officeDocument/2006/relationships/hyperlink" Target="https://www.sec.gov/Archives/edgar/data/1326801/000162828025047240/meta-20250930.htm" TargetMode="External"/><Relationship Id="rId105" Type="http://schemas.openxmlformats.org/officeDocument/2006/relationships/hyperlink" Target="https://www.sec.gov/Archives/edgar/data/1326801/000162828026003942/meta-20251231.htm" TargetMode="External"/><Relationship Id="rId8" Type="http://schemas.openxmlformats.org/officeDocument/2006/relationships/hyperlink" Target="https://www.sec.gov/Archives/edgar/data/789019/000119312525256321/msft-20250930.htm" TargetMode="External"/><Relationship Id="rId51" Type="http://schemas.openxmlformats.org/officeDocument/2006/relationships/hyperlink" Target="https://www.sec.gov/Archives/edgar/data/1652044/000165204426000048/goog-20260331.htm" TargetMode="External"/><Relationship Id="rId72" Type="http://schemas.openxmlformats.org/officeDocument/2006/relationships/hyperlink" Target="https://www.sec.gov/Archives/edgar/data/1018724/000101872426000026/amzn-20260630.htm" TargetMode="External"/><Relationship Id="rId93" Type="http://schemas.openxmlformats.org/officeDocument/2006/relationships/hyperlink" Target="https://www.sec.gov/Archives/edgar/data/1341439/000119312526277521/orcl-20260531.htm" TargetMode="External"/><Relationship Id="rId98" Type="http://schemas.openxmlformats.org/officeDocument/2006/relationships/hyperlink" Target="https://www.sec.gov/Archives/edgar/data/1326801/000162828025036791/meta-20250630.htm" TargetMode="External"/><Relationship Id="rId3" Type="http://schemas.openxmlformats.org/officeDocument/2006/relationships/hyperlink" Target="https://www.sec.gov/Archives/edgar/data/789019/000095017025100235/msft-20250630.htm" TargetMode="External"/><Relationship Id="rId25" Type="http://schemas.openxmlformats.org/officeDocument/2006/relationships/hyperlink" Target="https://www.microsoft.com/en-us/Investor/earnings/FY-2026-Q3/press-release-webcast" TargetMode="External"/><Relationship Id="rId46" Type="http://schemas.openxmlformats.org/officeDocument/2006/relationships/hyperlink" Target="https://www.sec.gov/Archives/edgar/data/1652044/000165204426000018/goog-20251231.htm" TargetMode="External"/><Relationship Id="rId67" Type="http://schemas.openxmlformats.org/officeDocument/2006/relationships/hyperlink" Target="https://www.sec.gov/Archives/edgar/data/1018724/000101872426000004/amzn-20251231.htm" TargetMode="External"/><Relationship Id="rId116" Type="http://schemas.openxmlformats.org/officeDocument/2006/relationships/vmlDrawing" Target="../drawings/vmlDrawing3.vml"/><Relationship Id="rId20" Type="http://schemas.openxmlformats.org/officeDocument/2006/relationships/hyperlink" Target="https://www.sec.gov/Archives/edgar/data/1018724/000101872426000002/amzn-20251231xex991.htm" TargetMode="External"/><Relationship Id="rId41" Type="http://schemas.openxmlformats.org/officeDocument/2006/relationships/hyperlink" Target="https://www.sec.gov/Archives/edgar/data/1652044/000165204425000091/goog-20250930.htm" TargetMode="External"/><Relationship Id="rId62" Type="http://schemas.openxmlformats.org/officeDocument/2006/relationships/hyperlink" Target="https://www.sec.gov/Archives/edgar/data/1018724/000101872425000123/amzn-20250930.htm" TargetMode="External"/><Relationship Id="rId83" Type="http://schemas.openxmlformats.org/officeDocument/2006/relationships/hyperlink" Target="https://www.sec.gov/Archives/edgar/data/1341439/000119312525200095/orcl-20250831.htm" TargetMode="External"/><Relationship Id="rId88" Type="http://schemas.openxmlformats.org/officeDocument/2006/relationships/hyperlink" Target="https://www.sec.gov/Archives/edgar/data/1341439/000119312526101045/orcl-20260228.htm" TargetMode="External"/><Relationship Id="rId111" Type="http://schemas.openxmlformats.org/officeDocument/2006/relationships/hyperlink" Target="https://www.sec.gov/Archives/edgar/data/1326801/000162828026028526/meta-20260331.htm" TargetMode="External"/><Relationship Id="rId15" Type="http://schemas.openxmlformats.org/officeDocument/2006/relationships/hyperlink" Target="https://www.sec.gov/Archives/edgar/data/789019/000119312526027207/msft-20251231.htm" TargetMode="External"/><Relationship Id="rId36" Type="http://schemas.openxmlformats.org/officeDocument/2006/relationships/hyperlink" Target="https://www.sec.gov/Archives/edgar/data/1652044/000165204425000062/goog-20250630.htm" TargetMode="External"/><Relationship Id="rId57" Type="http://schemas.openxmlformats.org/officeDocument/2006/relationships/hyperlink" Target="https://www.sec.gov/Archives/edgar/data/1018724/000101872425000086/amzn-20250630.htm" TargetMode="External"/><Relationship Id="rId106" Type="http://schemas.openxmlformats.org/officeDocument/2006/relationships/hyperlink" Target="https://www.sec.gov/Archives/edgar/data/1326801/000162828026003942/meta-20251231.ht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ec.gov/Archives/edgar/data/1652044/000165204425000062/goog-20250630.htm" TargetMode="External"/><Relationship Id="rId18" Type="http://schemas.openxmlformats.org/officeDocument/2006/relationships/hyperlink" Target="https://www.sec.gov/Archives/edgar/data/1652044/000165204426000018/goog-20251231.htm" TargetMode="External"/><Relationship Id="rId26" Type="http://schemas.openxmlformats.org/officeDocument/2006/relationships/hyperlink" Target="https://www.sec.gov/Archives/edgar/data/1018724/000101872425000086/amzn-20250630.htm" TargetMode="External"/><Relationship Id="rId39" Type="http://schemas.openxmlformats.org/officeDocument/2006/relationships/hyperlink" Target="https://www.sec.gov/Archives/edgar/data/1341439/000119312525200095/orcl-20250831.htm" TargetMode="External"/><Relationship Id="rId21" Type="http://schemas.openxmlformats.org/officeDocument/2006/relationships/hyperlink" Target="https://www.sec.gov/Archives/edgar/data/1652044/000165204426000071/goog-20260630.htm" TargetMode="External"/><Relationship Id="rId34" Type="http://schemas.openxmlformats.org/officeDocument/2006/relationships/hyperlink" Target="https://www.sec.gov/Archives/edgar/data/1018724/000101872426000026/amzn-20260630.htm" TargetMode="External"/><Relationship Id="rId42" Type="http://schemas.openxmlformats.org/officeDocument/2006/relationships/hyperlink" Target="https://www.sec.gov/Archives/edgar/data/1341439/000119312525315925/orcl-20251130.htm" TargetMode="External"/><Relationship Id="rId47" Type="http://schemas.openxmlformats.org/officeDocument/2006/relationships/hyperlink" Target="https://www.sec.gov/Archives/edgar/data/1341439/000119312526265848/orcl-ex99_1.htm" TargetMode="External"/><Relationship Id="rId50" Type="http://schemas.openxmlformats.org/officeDocument/2006/relationships/hyperlink" Target="https://www.sec.gov/Archives/edgar/data/1326801/000162828025036791/meta-20250630.htm" TargetMode="External"/><Relationship Id="rId55" Type="http://schemas.openxmlformats.org/officeDocument/2006/relationships/hyperlink" Target="https://www.sec.gov/Archives/edgar/data/1326801/000162828026028526/meta-20260331.htm" TargetMode="External"/><Relationship Id="rId7" Type="http://schemas.openxmlformats.org/officeDocument/2006/relationships/hyperlink" Target="https://www.sec.gov/Archives/edgar/data/789019/000119312526191507/msft-20260331.htm" TargetMode="External"/><Relationship Id="rId2" Type="http://schemas.openxmlformats.org/officeDocument/2006/relationships/hyperlink" Target="https://www.microsoft.com/en-us/Investor/earnings/FY-2025-Q4/press-release-webcast" TargetMode="External"/><Relationship Id="rId16" Type="http://schemas.openxmlformats.org/officeDocument/2006/relationships/hyperlink" Target="https://www.sec.gov/Archives/edgar/data/1652044/000165204425000091/goog-20250930.htm" TargetMode="External"/><Relationship Id="rId29" Type="http://schemas.openxmlformats.org/officeDocument/2006/relationships/hyperlink" Target="https://www.sec.gov/Archives/edgar/data/1018724/000101872426000004/amzn-20251231.htm" TargetMode="External"/><Relationship Id="rId11" Type="http://schemas.openxmlformats.org/officeDocument/2006/relationships/hyperlink" Target="https://www.microsoft.com/en-us/investor/events/fy-2026/earnings-fy-2026-q4" TargetMode="External"/><Relationship Id="rId24" Type="http://schemas.openxmlformats.org/officeDocument/2006/relationships/hyperlink" Target="https://pages.stern.nyu.edu/~adamodar/New_Home_Page/datafile/wacc.html" TargetMode="External"/><Relationship Id="rId32" Type="http://schemas.openxmlformats.org/officeDocument/2006/relationships/hyperlink" Target="https://www.sec.gov/Archives/edgar/data/1018724/000101872426000014/amzn-20260331.htm" TargetMode="External"/><Relationship Id="rId37" Type="http://schemas.openxmlformats.org/officeDocument/2006/relationships/hyperlink" Target="https://www.sec.gov/Archives/edgar/data/1341439/000095017025087926/orcl-20250531.htm" TargetMode="External"/><Relationship Id="rId40" Type="http://schemas.openxmlformats.org/officeDocument/2006/relationships/hyperlink" Target="https://www.sec.gov/Archives/edgar/data/1341439/000119312525200095/orcl-20250831.htm" TargetMode="External"/><Relationship Id="rId45" Type="http://schemas.openxmlformats.org/officeDocument/2006/relationships/hyperlink" Target="https://www.sec.gov/Archives/edgar/data/1341439/000119312526277521/orcl-20260531.htm" TargetMode="External"/><Relationship Id="rId53" Type="http://schemas.openxmlformats.org/officeDocument/2006/relationships/hyperlink" Target="https://www.sec.gov/Archives/edgar/data/1326801/000162828026003942/meta-20251231.htm" TargetMode="External"/><Relationship Id="rId58" Type="http://schemas.openxmlformats.org/officeDocument/2006/relationships/hyperlink" Target="https://www.sec.gov/Archives/edgar/data/1326801/000162828026050705/meta-20260630.htm" TargetMode="External"/><Relationship Id="rId5" Type="http://schemas.openxmlformats.org/officeDocument/2006/relationships/hyperlink" Target="https://www.sec.gov/Archives/edgar/data/789019/000119312526027207/msft-20251231.htm" TargetMode="External"/><Relationship Id="rId61" Type="http://schemas.openxmlformats.org/officeDocument/2006/relationships/vmlDrawing" Target="../drawings/vmlDrawing4.vml"/><Relationship Id="rId19" Type="http://schemas.openxmlformats.org/officeDocument/2006/relationships/hyperlink" Target="https://www.sec.gov/Archives/edgar/data/1652044/000165204426000048/goog-20260331.htm" TargetMode="External"/><Relationship Id="rId14" Type="http://schemas.openxmlformats.org/officeDocument/2006/relationships/hyperlink" Target="https://www.sec.gov/Archives/edgar/data/1652044/000165204425000062/goog-20250630.htm" TargetMode="External"/><Relationship Id="rId22" Type="http://schemas.openxmlformats.org/officeDocument/2006/relationships/hyperlink" Target="https://www.sec.gov/Archives/edgar/data/1652044/000165204426000071/goog-20260630.htm" TargetMode="External"/><Relationship Id="rId27" Type="http://schemas.openxmlformats.org/officeDocument/2006/relationships/hyperlink" Target="https://www.sec.gov/Archives/edgar/data/1018724/000101872425000123/amzn-20250930.htm" TargetMode="External"/><Relationship Id="rId30" Type="http://schemas.openxmlformats.org/officeDocument/2006/relationships/hyperlink" Target="https://www.sec.gov/Archives/edgar/data/1018724/000101872426000004/amzn-20251231.htm" TargetMode="External"/><Relationship Id="rId35" Type="http://schemas.openxmlformats.org/officeDocument/2006/relationships/hyperlink" Target="https://www.sec.gov/Archives/edgar/data/1018724/000101872426000002/amzn-20251231xex991.htm" TargetMode="External"/><Relationship Id="rId43" Type="http://schemas.openxmlformats.org/officeDocument/2006/relationships/hyperlink" Target="https://www.sec.gov/Archives/edgar/data/1341439/000119312526101045/orcl-20260228.htm" TargetMode="External"/><Relationship Id="rId48" Type="http://schemas.openxmlformats.org/officeDocument/2006/relationships/hyperlink" Target="https://pages.stern.nyu.edu/~adamodar/New_Home_Page/datafile/wacc.html" TargetMode="External"/><Relationship Id="rId56" Type="http://schemas.openxmlformats.org/officeDocument/2006/relationships/hyperlink" Target="https://www.sec.gov/Archives/edgar/data/1326801/000162828026028526/meta-20260331.htm" TargetMode="External"/><Relationship Id="rId8" Type="http://schemas.openxmlformats.org/officeDocument/2006/relationships/hyperlink" Target="https://www.microsoft.com/en-us/Investor/earnings/FY-2026-Q3/press-release-webcast" TargetMode="External"/><Relationship Id="rId51" Type="http://schemas.openxmlformats.org/officeDocument/2006/relationships/hyperlink" Target="https://www.sec.gov/Archives/edgar/data/1326801/000162828025047240/meta-20250930.htm" TargetMode="External"/><Relationship Id="rId3" Type="http://schemas.openxmlformats.org/officeDocument/2006/relationships/hyperlink" Target="https://www.sec.gov/Archives/edgar/data/789019/000119312525256321/msft-20250930.htm" TargetMode="External"/><Relationship Id="rId12" Type="http://schemas.openxmlformats.org/officeDocument/2006/relationships/hyperlink" Target="https://pages.stern.nyu.edu/~adamodar/New_Home_Page/datafile/wacc.html" TargetMode="External"/><Relationship Id="rId17" Type="http://schemas.openxmlformats.org/officeDocument/2006/relationships/hyperlink" Target="https://www.sec.gov/Archives/edgar/data/1652044/000165204426000018/goog-20251231.htm" TargetMode="External"/><Relationship Id="rId25" Type="http://schemas.openxmlformats.org/officeDocument/2006/relationships/hyperlink" Target="https://www.sec.gov/Archives/edgar/data/1018724/000101872425000086/amzn-20250630.htm" TargetMode="External"/><Relationship Id="rId33" Type="http://schemas.openxmlformats.org/officeDocument/2006/relationships/hyperlink" Target="https://www.sec.gov/Archives/edgar/data/1018724/000101872426000026/amzn-20260630.htm" TargetMode="External"/><Relationship Id="rId38" Type="http://schemas.openxmlformats.org/officeDocument/2006/relationships/hyperlink" Target="https://www.sec.gov/Archives/edgar/data/1341439/000095017025087926/orcl-20250531.htm" TargetMode="External"/><Relationship Id="rId46" Type="http://schemas.openxmlformats.org/officeDocument/2006/relationships/hyperlink" Target="https://www.sec.gov/Archives/edgar/data/1341439/000119312526277521/orcl-20260531.htm" TargetMode="External"/><Relationship Id="rId59" Type="http://schemas.openxmlformats.org/officeDocument/2006/relationships/hyperlink" Target="https://www.sec.gov/Archives/edgar/data/1326801/000162828026050596/meta-06302026xexhibit991.htm" TargetMode="External"/><Relationship Id="rId20" Type="http://schemas.openxmlformats.org/officeDocument/2006/relationships/hyperlink" Target="https://www.sec.gov/Archives/edgar/data/1652044/000165204426000048/goog-20260331.htm" TargetMode="External"/><Relationship Id="rId41" Type="http://schemas.openxmlformats.org/officeDocument/2006/relationships/hyperlink" Target="https://www.sec.gov/Archives/edgar/data/1341439/000119312525315925/orcl-20251130.htm" TargetMode="External"/><Relationship Id="rId54" Type="http://schemas.openxmlformats.org/officeDocument/2006/relationships/hyperlink" Target="https://www.sec.gov/Archives/edgar/data/1326801/000162828026003942/meta-20251231.htm" TargetMode="External"/><Relationship Id="rId62" Type="http://schemas.openxmlformats.org/officeDocument/2006/relationships/comments" Target="../comments4.xml"/><Relationship Id="rId1" Type="http://schemas.openxmlformats.org/officeDocument/2006/relationships/hyperlink" Target="https://www.sec.gov/Archives/edgar/data/789019/000095017025100235/msft-20250630.htm" TargetMode="External"/><Relationship Id="rId6" Type="http://schemas.openxmlformats.org/officeDocument/2006/relationships/hyperlink" Target="https://www.microsoft.com/en-us/Investor/earnings/FY-2026-Q2/press-release-webcast" TargetMode="External"/><Relationship Id="rId15" Type="http://schemas.openxmlformats.org/officeDocument/2006/relationships/hyperlink" Target="https://www.sec.gov/Archives/edgar/data/1652044/000165204425000091/goog-20250930.htm" TargetMode="External"/><Relationship Id="rId23" Type="http://schemas.openxmlformats.org/officeDocument/2006/relationships/hyperlink" Target="https://abc.xyz/investor/events/event-details/2026/2026-Q2-Earnings-Call-2026-GgTAq7Is0z/default.aspx" TargetMode="External"/><Relationship Id="rId28" Type="http://schemas.openxmlformats.org/officeDocument/2006/relationships/hyperlink" Target="https://www.sec.gov/Archives/edgar/data/1018724/000101872425000123/amzn-20250930.htm" TargetMode="External"/><Relationship Id="rId36" Type="http://schemas.openxmlformats.org/officeDocument/2006/relationships/hyperlink" Target="https://pages.stern.nyu.edu/~adamodar/New_Home_Page/datafile/wacc.html" TargetMode="External"/><Relationship Id="rId49" Type="http://schemas.openxmlformats.org/officeDocument/2006/relationships/hyperlink" Target="https://www.sec.gov/Archives/edgar/data/1326801/000162828025036791/meta-20250630.htm" TargetMode="External"/><Relationship Id="rId57" Type="http://schemas.openxmlformats.org/officeDocument/2006/relationships/hyperlink" Target="https://www.sec.gov/Archives/edgar/data/1326801/000162828026050705/meta-20260630.htm" TargetMode="External"/><Relationship Id="rId10" Type="http://schemas.openxmlformats.org/officeDocument/2006/relationships/hyperlink" Target="https://www.microsoft.com/en-us/investor/events/fy-2026/earnings-fy-2026-q4" TargetMode="External"/><Relationship Id="rId31" Type="http://schemas.openxmlformats.org/officeDocument/2006/relationships/hyperlink" Target="https://www.sec.gov/Archives/edgar/data/1018724/000101872426000014/amzn-20260331.htm" TargetMode="External"/><Relationship Id="rId44" Type="http://schemas.openxmlformats.org/officeDocument/2006/relationships/hyperlink" Target="https://www.sec.gov/Archives/edgar/data/1341439/000119312526101045/orcl-20260228.htm" TargetMode="External"/><Relationship Id="rId52" Type="http://schemas.openxmlformats.org/officeDocument/2006/relationships/hyperlink" Target="https://www.sec.gov/Archives/edgar/data/1326801/000162828025047240/meta-20250930.htm" TargetMode="External"/><Relationship Id="rId60" Type="http://schemas.openxmlformats.org/officeDocument/2006/relationships/hyperlink" Target="https://pages.stern.nyu.edu/~adamodar/New_Home_Page/datafile/wacc.html" TargetMode="External"/><Relationship Id="rId4" Type="http://schemas.openxmlformats.org/officeDocument/2006/relationships/hyperlink" Target="https://www.microsoft.com/en-us/Investor/earnings/FY-2026-Q1/press-release-webcast" TargetMode="External"/><Relationship Id="rId9" Type="http://schemas.openxmlformats.org/officeDocument/2006/relationships/hyperlink" Target="https://www.sec.gov/Archives/edgar/data/789019/000119312526323660/msft-20260630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8"/>
  <sheetViews>
    <sheetView showGridLines="0" tabSelected="1" zoomScale="90" workbookViewId="0">
      <pane xSplit="2" ySplit="3" topLeftCell="C4" activePane="bottomRight" state="frozen"/>
      <selection pane="topRight"/>
      <selection pane="bottomLeft"/>
      <selection pane="bottomRight" sqref="A1:G1"/>
    </sheetView>
  </sheetViews>
  <sheetFormatPr defaultRowHeight="14.5" x14ac:dyDescent="0.35"/>
  <cols>
    <col min="1" max="1" width="13" customWidth="1"/>
    <col min="2" max="2" width="39" customWidth="1"/>
    <col min="3" max="7" width="17" customWidth="1"/>
  </cols>
  <sheetData>
    <row r="1" spans="1:7" ht="25" customHeight="1" x14ac:dyDescent="0.35">
      <c r="A1" s="25" t="s">
        <v>0</v>
      </c>
      <c r="B1" s="24"/>
      <c r="C1" s="24"/>
      <c r="D1" s="24"/>
      <c r="E1" s="24"/>
      <c r="F1" s="24"/>
      <c r="G1" s="24"/>
    </row>
    <row r="2" spans="1:7" ht="36" customHeight="1" x14ac:dyDescent="0.35">
      <c r="A2" s="23" t="s">
        <v>1</v>
      </c>
      <c r="B2" s="24"/>
      <c r="C2" s="24"/>
      <c r="D2" s="24"/>
      <c r="E2" s="24"/>
      <c r="F2" s="24"/>
      <c r="G2" s="24"/>
    </row>
    <row r="4" spans="1:7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5">
      <c r="A5" s="2" t="s">
        <v>9</v>
      </c>
      <c r="B5" s="2" t="s">
        <v>10</v>
      </c>
      <c r="C5" s="3">
        <f>Inputs!$F$5</f>
        <v>368</v>
      </c>
      <c r="D5" s="3">
        <f>Inputs!$F$6</f>
        <v>392</v>
      </c>
      <c r="E5" s="3">
        <f>Inputs!$F$7</f>
        <v>625</v>
      </c>
      <c r="F5" s="3">
        <f>Inputs!$F$8</f>
        <v>627</v>
      </c>
      <c r="G5" s="3">
        <f>Inputs!$F$9</f>
        <v>678</v>
      </c>
    </row>
    <row r="6" spans="1:7" x14ac:dyDescent="0.35">
      <c r="A6" s="2"/>
      <c r="B6" s="2" t="s">
        <v>11</v>
      </c>
      <c r="C6" s="3">
        <f>Inputs!$H$5</f>
        <v>24.2</v>
      </c>
      <c r="D6" s="3">
        <f>Inputs!$H$6</f>
        <v>34.9</v>
      </c>
      <c r="E6" s="3">
        <f>Inputs!$H$7</f>
        <v>37.5</v>
      </c>
      <c r="F6" s="3">
        <f>Inputs!$H$8</f>
        <v>31.9</v>
      </c>
      <c r="G6" s="3">
        <f>Inputs!$H$9</f>
        <v>41</v>
      </c>
    </row>
    <row r="7" spans="1:7" x14ac:dyDescent="0.35">
      <c r="A7" s="2"/>
      <c r="B7" s="2" t="s">
        <v>12</v>
      </c>
      <c r="C7" s="4">
        <f>C6*4*Inputs!$T$5</f>
        <v>82.28</v>
      </c>
      <c r="D7" s="4">
        <f>D6*4*Inputs!$T$5</f>
        <v>118.66</v>
      </c>
      <c r="E7" s="4">
        <f>E6*4*Inputs!$T$5</f>
        <v>127.5</v>
      </c>
      <c r="F7" s="4">
        <f>F6*4*Inputs!$T$5</f>
        <v>108.46</v>
      </c>
      <c r="G7" s="4">
        <f>G6*4*Inputs!$T$5</f>
        <v>139.4</v>
      </c>
    </row>
    <row r="8" spans="1:7" x14ac:dyDescent="0.35">
      <c r="A8" s="2"/>
      <c r="B8" s="2" t="s">
        <v>13</v>
      </c>
      <c r="C8" s="4">
        <f>C5*Inputs!$R$5/Inputs!$S$5</f>
        <v>73.599999999999994</v>
      </c>
      <c r="D8" s="4">
        <f>D5*Inputs!$R$5/Inputs!$S$5</f>
        <v>78.400000000000006</v>
      </c>
      <c r="E8" s="4">
        <f>E5*Inputs!$R$5/Inputs!$S$5</f>
        <v>125</v>
      </c>
      <c r="F8" s="4">
        <f>F5*Inputs!$R$5/Inputs!$S$5</f>
        <v>125.4</v>
      </c>
      <c r="G8" s="4">
        <f>G5*Inputs!$R$5/Inputs!$S$5</f>
        <v>135.6</v>
      </c>
    </row>
    <row r="9" spans="1:7" x14ac:dyDescent="0.35">
      <c r="A9" s="2"/>
      <c r="B9" s="5" t="s">
        <v>14</v>
      </c>
      <c r="C9" s="6">
        <f>C8*Inputs!$V$5/C7</f>
        <v>0.26835196888672824</v>
      </c>
      <c r="D9" s="6">
        <f>D8*Inputs!$V$5/D7</f>
        <v>0.19821338277431316</v>
      </c>
      <c r="E9" s="6">
        <f>E8*Inputs!$V$5/E7</f>
        <v>0.29411764705882354</v>
      </c>
      <c r="F9" s="6">
        <f>F8*Inputs!$V$5/F7</f>
        <v>0.34685598377281945</v>
      </c>
      <c r="G9" s="6">
        <f>G8*Inputs!$V$5/G7</f>
        <v>0.29182209469153514</v>
      </c>
    </row>
    <row r="10" spans="1:7" x14ac:dyDescent="0.35">
      <c r="A10" s="2"/>
      <c r="B10" s="5" t="s">
        <v>15</v>
      </c>
      <c r="C10" s="6">
        <f>C9-Inputs!$X$5</f>
        <v>0.17495196888672826</v>
      </c>
      <c r="D10" s="6">
        <f>D9-Inputs!$X$5</f>
        <v>0.10481338277431317</v>
      </c>
      <c r="E10" s="6">
        <f>E9-Inputs!$X$5</f>
        <v>0.20071764705882356</v>
      </c>
      <c r="F10" s="6">
        <f>F9-Inputs!$X$5</f>
        <v>0.25345598377281947</v>
      </c>
      <c r="G10" s="6">
        <f>G9-Inputs!$X$5</f>
        <v>0.19842209469153516</v>
      </c>
    </row>
    <row r="12" spans="1:7" x14ac:dyDescent="0.35">
      <c r="A12" s="2" t="s">
        <v>16</v>
      </c>
      <c r="B12" s="2" t="s">
        <v>17</v>
      </c>
      <c r="C12" s="3">
        <f>Inputs!$F$10</f>
        <v>108.2</v>
      </c>
      <c r="D12" s="3">
        <f>Inputs!$F$11</f>
        <v>157.69999999999999</v>
      </c>
      <c r="E12" s="3">
        <f>Inputs!$F$12</f>
        <v>242.8</v>
      </c>
      <c r="F12" s="3">
        <f>Inputs!$F$13</f>
        <v>467.6</v>
      </c>
      <c r="G12" s="3">
        <f>Inputs!$F$14</f>
        <v>519.5</v>
      </c>
    </row>
    <row r="13" spans="1:7" x14ac:dyDescent="0.35">
      <c r="A13" s="2"/>
      <c r="B13" s="2" t="s">
        <v>11</v>
      </c>
      <c r="C13" s="3">
        <f>Inputs!$H$10</f>
        <v>22.446000000000002</v>
      </c>
      <c r="D13" s="3">
        <f>Inputs!$H$11</f>
        <v>23.952999999999999</v>
      </c>
      <c r="E13" s="3">
        <f>Inputs!$H$12</f>
        <v>27.850999999999999</v>
      </c>
      <c r="F13" s="3">
        <f>Inputs!$H$13</f>
        <v>35.673999999999999</v>
      </c>
      <c r="G13" s="3">
        <f>Inputs!$H$14</f>
        <v>44.923999999999999</v>
      </c>
    </row>
    <row r="14" spans="1:7" x14ac:dyDescent="0.35">
      <c r="A14" s="2"/>
      <c r="B14" s="2" t="s">
        <v>12</v>
      </c>
      <c r="C14" s="4">
        <f>C13*4*Inputs!$T$6</f>
        <v>71.827200000000005</v>
      </c>
      <c r="D14" s="4">
        <f>D13*4*Inputs!$T$6</f>
        <v>76.649600000000007</v>
      </c>
      <c r="E14" s="4">
        <f>E13*4*Inputs!$T$6</f>
        <v>89.123199999999997</v>
      </c>
      <c r="F14" s="4">
        <f>F13*4*Inputs!$T$6</f>
        <v>114.1568</v>
      </c>
      <c r="G14" s="4">
        <f>G13*4*Inputs!$T$6</f>
        <v>143.7568</v>
      </c>
    </row>
    <row r="15" spans="1:7" x14ac:dyDescent="0.35">
      <c r="A15" s="2"/>
      <c r="B15" s="2" t="s">
        <v>13</v>
      </c>
      <c r="C15" s="4">
        <f>C12*Inputs!$R$6/Inputs!$S$6</f>
        <v>28.131999999999998</v>
      </c>
      <c r="D15" s="4">
        <f>D12*Inputs!$R$6/Inputs!$S$6</f>
        <v>41.001999999999995</v>
      </c>
      <c r="E15" s="4">
        <f>E12*Inputs!$R$6/Inputs!$S$6</f>
        <v>63.128000000000007</v>
      </c>
      <c r="F15" s="4">
        <f>F12*Inputs!$R$6/Inputs!$S$6</f>
        <v>121.57599999999999</v>
      </c>
      <c r="G15" s="4">
        <f>G12*Inputs!$R$6/Inputs!$S$6</f>
        <v>135.07</v>
      </c>
    </row>
    <row r="16" spans="1:7" x14ac:dyDescent="0.35">
      <c r="A16" s="2"/>
      <c r="B16" s="5" t="s">
        <v>14</v>
      </c>
      <c r="C16" s="6">
        <f>C15*Inputs!$V$6/C14</f>
        <v>0.11749866345896816</v>
      </c>
      <c r="D16" s="6">
        <f>D15*Inputs!$V$6/D14</f>
        <v>0.16047833256794553</v>
      </c>
      <c r="E16" s="6">
        <f>E15*Inputs!$V$6/E14</f>
        <v>0.21249685828156981</v>
      </c>
      <c r="F16" s="6">
        <f>F15*Inputs!$V$6/F14</f>
        <v>0.31949739305937097</v>
      </c>
      <c r="G16" s="6">
        <f>G15*Inputs!$V$6/G14</f>
        <v>0.28187188362567889</v>
      </c>
    </row>
    <row r="17" spans="1:7" x14ac:dyDescent="0.35">
      <c r="A17" s="2"/>
      <c r="B17" s="5" t="s">
        <v>15</v>
      </c>
      <c r="C17" s="6">
        <f>C16-Inputs!$X$6</f>
        <v>1.0898663458968158E-2</v>
      </c>
      <c r="D17" s="6">
        <f>D16-Inputs!$X$6</f>
        <v>5.3878332567945525E-2</v>
      </c>
      <c r="E17" s="6">
        <f>E16-Inputs!$X$6</f>
        <v>0.10589685828156981</v>
      </c>
      <c r="F17" s="6">
        <f>F16-Inputs!$X$6</f>
        <v>0.21289739305937097</v>
      </c>
      <c r="G17" s="6">
        <f>G16-Inputs!$X$6</f>
        <v>0.17527188362567889</v>
      </c>
    </row>
    <row r="19" spans="1:7" x14ac:dyDescent="0.35">
      <c r="A19" s="2" t="s">
        <v>18</v>
      </c>
      <c r="B19" s="2" t="s">
        <v>19</v>
      </c>
      <c r="C19" s="3">
        <f>Inputs!$F$15</f>
        <v>195</v>
      </c>
      <c r="D19" s="3">
        <f>Inputs!$F$16</f>
        <v>200</v>
      </c>
      <c r="E19" s="3">
        <f>Inputs!$F$17</f>
        <v>244</v>
      </c>
      <c r="F19" s="3">
        <f>Inputs!$F$18</f>
        <v>364</v>
      </c>
      <c r="G19" s="3">
        <f>Inputs!$F$19</f>
        <v>496</v>
      </c>
    </row>
    <row r="20" spans="1:7" x14ac:dyDescent="0.35">
      <c r="A20" s="2"/>
      <c r="B20" s="2" t="s">
        <v>11</v>
      </c>
      <c r="C20" s="3">
        <f>Inputs!$H$15</f>
        <v>32.183</v>
      </c>
      <c r="D20" s="3">
        <f>Inputs!$H$16</f>
        <v>35.094999999999999</v>
      </c>
      <c r="E20" s="3">
        <f>Inputs!$H$17</f>
        <v>39.521999999999998</v>
      </c>
      <c r="F20" s="3">
        <f>Inputs!$H$18</f>
        <v>44.203000000000003</v>
      </c>
      <c r="G20" s="3">
        <f>Inputs!$H$19</f>
        <v>54.207999999999998</v>
      </c>
    </row>
    <row r="21" spans="1:7" x14ac:dyDescent="0.35">
      <c r="A21" s="2"/>
      <c r="B21" s="2" t="s">
        <v>12</v>
      </c>
      <c r="C21" s="4">
        <f>C20*4*Inputs!$T$7</f>
        <v>96.549000000000007</v>
      </c>
      <c r="D21" s="4">
        <f>D20*4*Inputs!$T$7</f>
        <v>105.285</v>
      </c>
      <c r="E21" s="4">
        <f>E20*4*Inputs!$T$7</f>
        <v>118.566</v>
      </c>
      <c r="F21" s="4">
        <f>F20*4*Inputs!$T$7</f>
        <v>132.60900000000001</v>
      </c>
      <c r="G21" s="4">
        <f>G20*4*Inputs!$T$7</f>
        <v>162.624</v>
      </c>
    </row>
    <row r="22" spans="1:7" x14ac:dyDescent="0.35">
      <c r="A22" s="2"/>
      <c r="B22" s="2" t="s">
        <v>13</v>
      </c>
      <c r="C22" s="4">
        <f>C19*Inputs!$R$7/Inputs!$S$7</f>
        <v>26.812500000000004</v>
      </c>
      <c r="D22" s="4">
        <f>D19*Inputs!$R$7/Inputs!$S$7</f>
        <v>27.500000000000004</v>
      </c>
      <c r="E22" s="4">
        <f>E19*Inputs!$R$7/Inputs!$S$7</f>
        <v>33.550000000000004</v>
      </c>
      <c r="F22" s="4">
        <f>F19*Inputs!$R$7/Inputs!$S$7</f>
        <v>50.050000000000004</v>
      </c>
      <c r="G22" s="4">
        <f>G19*Inputs!$R$7/Inputs!$S$7</f>
        <v>68.2</v>
      </c>
    </row>
    <row r="23" spans="1:7" x14ac:dyDescent="0.35">
      <c r="A23" s="2"/>
      <c r="B23" s="5" t="s">
        <v>14</v>
      </c>
      <c r="C23" s="6">
        <f>C22*Inputs!$V$7/C21</f>
        <v>7.7758443898952881E-2</v>
      </c>
      <c r="D23" s="6">
        <f>D22*Inputs!$V$7/D21</f>
        <v>7.3134824523911304E-2</v>
      </c>
      <c r="E23" s="6">
        <f>E22*Inputs!$V$7/E21</f>
        <v>7.9230133427795502E-2</v>
      </c>
      <c r="F23" s="6">
        <f>F22*Inputs!$V$7/F21</f>
        <v>0.10567910172009443</v>
      </c>
      <c r="G23" s="6">
        <f>G22*Inputs!$V$7/G21</f>
        <v>0.11742424242424244</v>
      </c>
    </row>
    <row r="24" spans="1:7" x14ac:dyDescent="0.35">
      <c r="A24" s="2"/>
      <c r="B24" s="5" t="s">
        <v>15</v>
      </c>
      <c r="C24" s="6">
        <f>C23-Inputs!$X$7</f>
        <v>5.0584438989528802E-3</v>
      </c>
      <c r="D24" s="6">
        <f>D23-Inputs!$X$7</f>
        <v>4.3482452391130355E-4</v>
      </c>
      <c r="E24" s="6">
        <f>E23-Inputs!$X$7</f>
        <v>6.5301334277955009E-3</v>
      </c>
      <c r="F24" s="6">
        <f>F23-Inputs!$X$7</f>
        <v>3.2979101720094425E-2</v>
      </c>
      <c r="G24" s="6">
        <f>G23-Inputs!$X$7</f>
        <v>4.4724242424242444E-2</v>
      </c>
    </row>
    <row r="26" spans="1:7" x14ac:dyDescent="0.35">
      <c r="A26" s="2" t="s">
        <v>20</v>
      </c>
      <c r="B26" s="2" t="s">
        <v>21</v>
      </c>
      <c r="C26" s="3">
        <f>Inputs!$F$20</f>
        <v>137.80000000000001</v>
      </c>
      <c r="D26" s="3">
        <f>Inputs!$F$21</f>
        <v>455.3</v>
      </c>
      <c r="E26" s="3">
        <f>Inputs!$F$22</f>
        <v>523.29999999999995</v>
      </c>
      <c r="F26" s="3">
        <f>Inputs!$F$23</f>
        <v>552.6</v>
      </c>
      <c r="G26" s="3">
        <f>Inputs!$F$24</f>
        <v>638</v>
      </c>
    </row>
    <row r="27" spans="1:7" x14ac:dyDescent="0.35">
      <c r="A27" s="2"/>
      <c r="B27" s="2" t="s">
        <v>11</v>
      </c>
      <c r="C27" s="3">
        <f>Inputs!$H$20</f>
        <v>9.08</v>
      </c>
      <c r="D27" s="3">
        <f>Inputs!$H$21</f>
        <v>8.5020000000000007</v>
      </c>
      <c r="E27" s="3">
        <f>Inputs!$H$22</f>
        <v>12.032999999999999</v>
      </c>
      <c r="F27" s="3">
        <f>Inputs!$H$23</f>
        <v>18.635000000000002</v>
      </c>
      <c r="G27" s="3">
        <f>Inputs!$H$24</f>
        <v>16.492999999999999</v>
      </c>
    </row>
    <row r="28" spans="1:7" x14ac:dyDescent="0.35">
      <c r="A28" s="2"/>
      <c r="B28" s="2" t="s">
        <v>12</v>
      </c>
      <c r="C28" s="4">
        <f>C27*4*Inputs!$T$8</f>
        <v>32.688000000000002</v>
      </c>
      <c r="D28" s="4">
        <f>D27*4*Inputs!$T$8</f>
        <v>30.607200000000002</v>
      </c>
      <c r="E28" s="4">
        <f>E27*4*Inputs!$T$8</f>
        <v>43.318799999999996</v>
      </c>
      <c r="F28" s="4">
        <f>F27*4*Inputs!$T$8</f>
        <v>67.086000000000013</v>
      </c>
      <c r="G28" s="4">
        <f>G27*4*Inputs!$T$8</f>
        <v>59.374799999999993</v>
      </c>
    </row>
    <row r="29" spans="1:7" x14ac:dyDescent="0.35">
      <c r="A29" s="2"/>
      <c r="B29" s="2" t="s">
        <v>13</v>
      </c>
      <c r="C29" s="4">
        <f>C26*Inputs!$R$8/Inputs!$S$8</f>
        <v>23.426000000000002</v>
      </c>
      <c r="D29" s="4">
        <f>D26*Inputs!$R$8/Inputs!$S$8</f>
        <v>77.400999999999996</v>
      </c>
      <c r="E29" s="4">
        <f>E26*Inputs!$R$8/Inputs!$S$8</f>
        <v>88.960999999999984</v>
      </c>
      <c r="F29" s="4">
        <f>F26*Inputs!$R$8/Inputs!$S$8</f>
        <v>93.941999999999993</v>
      </c>
      <c r="G29" s="4">
        <f>G26*Inputs!$R$8/Inputs!$S$8</f>
        <v>108.46</v>
      </c>
    </row>
    <row r="30" spans="1:7" x14ac:dyDescent="0.35">
      <c r="A30" s="2"/>
      <c r="B30" s="5" t="s">
        <v>14</v>
      </c>
      <c r="C30" s="6">
        <f>C29*Inputs!$V$8/C28</f>
        <v>0.1289977973568282</v>
      </c>
      <c r="D30" s="6">
        <f>D29*Inputs!$V$8/D28</f>
        <v>0.455192895789226</v>
      </c>
      <c r="E30" s="6">
        <f>E29*Inputs!$V$8/E28</f>
        <v>0.36965428405218975</v>
      </c>
      <c r="F30" s="6">
        <f>F29*Inputs!$V$8/F28</f>
        <v>0.25205795546015558</v>
      </c>
      <c r="G30" s="6">
        <f>G29*Inputs!$V$8/G28</f>
        <v>0.32880616018917114</v>
      </c>
    </row>
    <row r="31" spans="1:7" x14ac:dyDescent="0.35">
      <c r="A31" s="2"/>
      <c r="B31" s="5" t="s">
        <v>15</v>
      </c>
      <c r="C31" s="6">
        <f>C30-Inputs!$X$8</f>
        <v>5.0697797356828209E-2</v>
      </c>
      <c r="D31" s="6">
        <f>D30-Inputs!$X$8</f>
        <v>0.37689289578922602</v>
      </c>
      <c r="E31" s="6">
        <f>E30-Inputs!$X$8</f>
        <v>0.29135428405218977</v>
      </c>
      <c r="F31" s="6">
        <f>F30-Inputs!$X$8</f>
        <v>0.1737579554601556</v>
      </c>
      <c r="G31" s="6">
        <f>G30-Inputs!$X$8</f>
        <v>0.25050616018917116</v>
      </c>
    </row>
    <row r="33" spans="1:7" x14ac:dyDescent="0.35">
      <c r="A33" s="2" t="s">
        <v>22</v>
      </c>
      <c r="B33" s="2" t="s">
        <v>23</v>
      </c>
      <c r="C33" s="3">
        <f>Inputs!$F$25</f>
        <v>47.515999999999998</v>
      </c>
      <c r="D33" s="3">
        <f>Inputs!$F$26</f>
        <v>51.241999999999997</v>
      </c>
      <c r="E33" s="3">
        <f>Inputs!$F$27</f>
        <v>59.893000000000001</v>
      </c>
      <c r="F33" s="3">
        <f>Inputs!$F$28</f>
        <v>56.311</v>
      </c>
      <c r="G33" s="3">
        <f>Inputs!$F$29</f>
        <v>60.801000000000002</v>
      </c>
    </row>
    <row r="34" spans="1:7" x14ac:dyDescent="0.35">
      <c r="A34" s="2"/>
      <c r="B34" s="2" t="s">
        <v>11</v>
      </c>
      <c r="C34" s="3">
        <f>Inputs!$H$25</f>
        <v>17.012</v>
      </c>
      <c r="D34" s="3">
        <f>Inputs!$H$26</f>
        <v>19.373999999999999</v>
      </c>
      <c r="E34" s="3">
        <f>Inputs!$H$27</f>
        <v>22.137</v>
      </c>
      <c r="F34" s="3">
        <f>Inputs!$H$28</f>
        <v>19.84</v>
      </c>
      <c r="G34" s="3">
        <f>Inputs!$H$29</f>
        <v>31.077999999999999</v>
      </c>
    </row>
    <row r="35" spans="1:7" x14ac:dyDescent="0.35">
      <c r="A35" s="2"/>
      <c r="B35" s="2" t="s">
        <v>12</v>
      </c>
      <c r="C35" s="4">
        <f>C34*4*Inputs!$T$9</f>
        <v>61.243200000000002</v>
      </c>
      <c r="D35" s="4">
        <f>D34*4*Inputs!$T$9</f>
        <v>69.746399999999994</v>
      </c>
      <c r="E35" s="4">
        <f>E34*4*Inputs!$T$9</f>
        <v>79.693200000000004</v>
      </c>
      <c r="F35" s="4">
        <f>F34*4*Inputs!$T$9</f>
        <v>71.424000000000007</v>
      </c>
      <c r="G35" s="4">
        <f>G34*4*Inputs!$T$9</f>
        <v>111.88079999999999</v>
      </c>
    </row>
    <row r="36" spans="1:7" x14ac:dyDescent="0.35">
      <c r="A36" s="2"/>
      <c r="B36" s="2" t="s">
        <v>13</v>
      </c>
      <c r="C36" s="4">
        <f>C33*4*Inputs!$R$9</f>
        <v>38.012799999999999</v>
      </c>
      <c r="D36" s="4">
        <f>D33*4*Inputs!$R$9</f>
        <v>40.993600000000001</v>
      </c>
      <c r="E36" s="4">
        <f>E33*4*Inputs!$R$9</f>
        <v>47.914400000000001</v>
      </c>
      <c r="F36" s="4">
        <f>F33*4*Inputs!$R$9</f>
        <v>45.0488</v>
      </c>
      <c r="G36" s="4">
        <f>G33*4*Inputs!$R$9</f>
        <v>48.640800000000006</v>
      </c>
    </row>
    <row r="37" spans="1:7" x14ac:dyDescent="0.35">
      <c r="A37" s="2"/>
      <c r="B37" s="5" t="s">
        <v>14</v>
      </c>
      <c r="C37" s="6">
        <f>C36*Inputs!$V$9/C35</f>
        <v>0.19861953653630118</v>
      </c>
      <c r="D37" s="6">
        <f>D36*Inputs!$V$9/D35</f>
        <v>0.18808070380693487</v>
      </c>
      <c r="E37" s="6">
        <f>E36*Inputs!$V$9/E35</f>
        <v>0.19239543649897356</v>
      </c>
      <c r="F37" s="6">
        <f>F36*Inputs!$V$9/F35</f>
        <v>0.20183154121863797</v>
      </c>
      <c r="G37" s="6">
        <f>G36*Inputs!$V$9/G35</f>
        <v>0.13912177960829744</v>
      </c>
    </row>
    <row r="38" spans="1:7" x14ac:dyDescent="0.35">
      <c r="A38" s="2"/>
      <c r="B38" s="5" t="s">
        <v>15</v>
      </c>
      <c r="C38" s="6">
        <f>C37-Inputs!$X$9</f>
        <v>9.2019536536301183E-2</v>
      </c>
      <c r="D38" s="6">
        <f>D37-Inputs!$X$9</f>
        <v>8.1480703806934868E-2</v>
      </c>
      <c r="E38" s="6">
        <f>E37-Inputs!$X$9</f>
        <v>8.579543649897356E-2</v>
      </c>
      <c r="F38" s="6">
        <f>F37-Inputs!$X$9</f>
        <v>9.5231541218637972E-2</v>
      </c>
      <c r="G38" s="6">
        <f>G37-Inputs!$X$9</f>
        <v>3.2521779608297441E-2</v>
      </c>
    </row>
  </sheetData>
  <autoFilter ref="A4:G38" xr:uid="{00000000-0009-0000-0000-000000000000}"/>
  <mergeCells count="2">
    <mergeCell ref="A2:G2"/>
    <mergeCell ref="A1:G1"/>
  </mergeCells>
  <conditionalFormatting sqref="C10:G10">
    <cfRule type="cellIs" dxfId="19" priority="1" operator="greaterThanOrEqual">
      <formula>0</formula>
    </cfRule>
    <cfRule type="cellIs" dxfId="18" priority="2" operator="lessThan">
      <formula>0</formula>
    </cfRule>
  </conditionalFormatting>
  <conditionalFormatting sqref="C17:G17">
    <cfRule type="cellIs" dxfId="17" priority="3" operator="greaterThanOrEqual">
      <formula>0</formula>
    </cfRule>
    <cfRule type="cellIs" dxfId="16" priority="4" operator="lessThan">
      <formula>0</formula>
    </cfRule>
  </conditionalFormatting>
  <conditionalFormatting sqref="C24:G24">
    <cfRule type="cellIs" dxfId="15" priority="5" operator="greaterThanOrEqual">
      <formula>0</formula>
    </cfRule>
    <cfRule type="cellIs" dxfId="14" priority="6" operator="lessThan">
      <formula>0</formula>
    </cfRule>
  </conditionalFormatting>
  <conditionalFormatting sqref="C31:G31">
    <cfRule type="cellIs" dxfId="13" priority="7" operator="greaterThanOrEqual">
      <formula>0</formula>
    </cfRule>
    <cfRule type="cellIs" dxfId="12" priority="8" operator="lessThan">
      <formula>0</formula>
    </cfRule>
  </conditionalFormatting>
  <conditionalFormatting sqref="C38:G38">
    <cfRule type="cellIs" dxfId="11" priority="9" operator="greaterThanOrEqual">
      <formula>0</formula>
    </cfRule>
    <cfRule type="cellIs" dxfId="10" priority="10" operator="lessThan">
      <formula>0</formula>
    </cfRule>
  </conditionalFormatting>
  <hyperlinks>
    <hyperlink ref="C5" r:id="rId1" display="https://www.sec.gov/Archives/edgar/data/789019/000095017025100235/msft-20250630.htm" xr:uid="{00000000-0004-0000-0000-000000000000}"/>
    <hyperlink ref="D5" r:id="rId2" display="https://www.sec.gov/Archives/edgar/data/789019/000119312525256321/msft-20250930.htm" xr:uid="{00000000-0004-0000-0000-000001000000}"/>
    <hyperlink ref="E5" r:id="rId3" display="https://www.sec.gov/Archives/edgar/data/789019/000119312526027207/msft-20251231.htm" xr:uid="{00000000-0004-0000-0000-000002000000}"/>
    <hyperlink ref="F5" r:id="rId4" display="https://www.sec.gov/Archives/edgar/data/789019/000119312526191507/msft-20260331.htm" xr:uid="{00000000-0004-0000-0000-000003000000}"/>
    <hyperlink ref="G5" r:id="rId5" display="https://www.sec.gov/Archives/edgar/data/789019/000119312526323660/msft-20260630.htm" xr:uid="{00000000-0004-0000-0000-000004000000}"/>
    <hyperlink ref="C6" r:id="rId6" display="https://www.microsoft.com/en-us/Investor/earnings/FY-2025-Q4/press-release-webcast" xr:uid="{00000000-0004-0000-0000-000005000000}"/>
    <hyperlink ref="D6" r:id="rId7" display="https://www.microsoft.com/en-us/Investor/earnings/FY-2026-Q1/press-release-webcast" xr:uid="{00000000-0004-0000-0000-000006000000}"/>
    <hyperlink ref="E6" r:id="rId8" display="https://www.microsoft.com/en-us/Investor/earnings/FY-2026-Q2/press-release-webcast" xr:uid="{00000000-0004-0000-0000-000007000000}"/>
    <hyperlink ref="F6" r:id="rId9" display="https://www.microsoft.com/en-us/Investor/earnings/FY-2026-Q3/press-release-webcast" xr:uid="{00000000-0004-0000-0000-000008000000}"/>
    <hyperlink ref="G6" r:id="rId10" display="https://www.microsoft.com/en-us/investor/events/fy-2026/earnings-fy-2026-q4" xr:uid="{00000000-0004-0000-0000-000009000000}"/>
    <hyperlink ref="C12" r:id="rId11" display="https://www.sec.gov/Archives/edgar/data/1652044/000165204425000062/goog-20250630.htm" xr:uid="{00000000-0004-0000-0000-00000A000000}"/>
    <hyperlink ref="D12" r:id="rId12" display="https://www.sec.gov/Archives/edgar/data/1652044/000165204425000091/goog-20250930.htm" xr:uid="{00000000-0004-0000-0000-00000B000000}"/>
    <hyperlink ref="E12" r:id="rId13" display="https://www.sec.gov/Archives/edgar/data/1652044/000165204426000018/goog-20251231.htm" xr:uid="{00000000-0004-0000-0000-00000C000000}"/>
    <hyperlink ref="F12" r:id="rId14" display="https://www.sec.gov/Archives/edgar/data/1652044/000165204426000048/goog-20260331.htm" xr:uid="{00000000-0004-0000-0000-00000D000000}"/>
    <hyperlink ref="G12" r:id="rId15" display="https://www.sec.gov/Archives/edgar/data/1652044/000165204426000071/goog-20260630.htm" xr:uid="{00000000-0004-0000-0000-00000E000000}"/>
    <hyperlink ref="C13" r:id="rId16" display="https://www.sec.gov/Archives/edgar/data/1652044/000165204425000062/goog-20250630.htm" xr:uid="{00000000-0004-0000-0000-00000F000000}"/>
    <hyperlink ref="D13" r:id="rId17" display="https://www.sec.gov/Archives/edgar/data/1652044/000165204425000091/goog-20250930.htm" xr:uid="{00000000-0004-0000-0000-000010000000}"/>
    <hyperlink ref="E13" r:id="rId18" display="https://www.sec.gov/Archives/edgar/data/1652044/000165204426000018/goog-20251231.htm" xr:uid="{00000000-0004-0000-0000-000011000000}"/>
    <hyperlink ref="F13" r:id="rId19" display="https://www.sec.gov/Archives/edgar/data/1652044/000165204426000048/goog-20260331.htm" xr:uid="{00000000-0004-0000-0000-000012000000}"/>
    <hyperlink ref="G13" r:id="rId20" display="https://www.sec.gov/Archives/edgar/data/1652044/000165204426000071/goog-20260630.htm" xr:uid="{00000000-0004-0000-0000-000013000000}"/>
    <hyperlink ref="C19" r:id="rId21" display="https://www.sec.gov/Archives/edgar/data/1018724/000101872425000086/amzn-20250630.htm" xr:uid="{00000000-0004-0000-0000-000014000000}"/>
    <hyperlink ref="D19" r:id="rId22" display="https://www.sec.gov/Archives/edgar/data/1018724/000101872425000123/amzn-20250930.htm" xr:uid="{00000000-0004-0000-0000-000015000000}"/>
    <hyperlink ref="E19" r:id="rId23" display="https://www.sec.gov/Archives/edgar/data/1018724/000101872426000004/amzn-20251231.htm" xr:uid="{00000000-0004-0000-0000-000016000000}"/>
    <hyperlink ref="F19" r:id="rId24" display="https://www.sec.gov/Archives/edgar/data/1018724/000101872426000014/amzn-20260331.htm" xr:uid="{00000000-0004-0000-0000-000017000000}"/>
    <hyperlink ref="G19" r:id="rId25" display="https://www.sec.gov/Archives/edgar/data/1018724/000101872426000026/amzn-20260630.htm" xr:uid="{00000000-0004-0000-0000-000018000000}"/>
    <hyperlink ref="C20" r:id="rId26" display="https://www.sec.gov/Archives/edgar/data/1018724/000101872425000086/amzn-20250630.htm" xr:uid="{00000000-0004-0000-0000-000019000000}"/>
    <hyperlink ref="D20" r:id="rId27" display="https://www.sec.gov/Archives/edgar/data/1018724/000101872425000123/amzn-20250930.htm" xr:uid="{00000000-0004-0000-0000-00001A000000}"/>
    <hyperlink ref="E20" r:id="rId28" display="https://www.sec.gov/Archives/edgar/data/1018724/000101872426000004/amzn-20251231.htm" xr:uid="{00000000-0004-0000-0000-00001B000000}"/>
    <hyperlink ref="F20" r:id="rId29" display="https://www.sec.gov/Archives/edgar/data/1018724/000101872426000014/amzn-20260331.htm" xr:uid="{00000000-0004-0000-0000-00001C000000}"/>
    <hyperlink ref="G20" r:id="rId30" display="https://www.sec.gov/Archives/edgar/data/1018724/000101872426000026/amzn-20260630.htm" xr:uid="{00000000-0004-0000-0000-00001D000000}"/>
    <hyperlink ref="C26" r:id="rId31" display="https://www.sec.gov/Archives/edgar/data/1341439/000095017025087926/orcl-20250531.htm" xr:uid="{00000000-0004-0000-0000-00001E000000}"/>
    <hyperlink ref="D26" r:id="rId32" display="https://www.sec.gov/Archives/edgar/data/1341439/000119312525200095/orcl-20250831.htm" xr:uid="{00000000-0004-0000-0000-00001F000000}"/>
    <hyperlink ref="E26" r:id="rId33" display="https://www.sec.gov/Archives/edgar/data/1341439/000119312525315925/orcl-20251130.htm" xr:uid="{00000000-0004-0000-0000-000020000000}"/>
    <hyperlink ref="F26" r:id="rId34" display="https://www.sec.gov/Archives/edgar/data/1341439/000119312526101045/orcl-20260228.htm" xr:uid="{00000000-0004-0000-0000-000021000000}"/>
    <hyperlink ref="G26" r:id="rId35" display="https://www.sec.gov/Archives/edgar/data/1341439/000119312526277521/orcl-20260531.htm" xr:uid="{00000000-0004-0000-0000-000022000000}"/>
    <hyperlink ref="C27" r:id="rId36" display="https://www.sec.gov/Archives/edgar/data/1341439/000095017025087926/orcl-20250531.htm" xr:uid="{00000000-0004-0000-0000-000023000000}"/>
    <hyperlink ref="D27" r:id="rId37" display="https://www.sec.gov/Archives/edgar/data/1341439/000119312525200095/orcl-20250831.htm" xr:uid="{00000000-0004-0000-0000-000024000000}"/>
    <hyperlink ref="E27" r:id="rId38" display="https://www.sec.gov/Archives/edgar/data/1341439/000119312525315925/orcl-20251130.htm" xr:uid="{00000000-0004-0000-0000-000025000000}"/>
    <hyperlink ref="F27" r:id="rId39" display="https://www.sec.gov/Archives/edgar/data/1341439/000119312526101045/orcl-20260228.htm" xr:uid="{00000000-0004-0000-0000-000026000000}"/>
    <hyperlink ref="G27" r:id="rId40" display="https://www.sec.gov/Archives/edgar/data/1341439/000119312526277521/orcl-20260531.htm" xr:uid="{00000000-0004-0000-0000-000027000000}"/>
    <hyperlink ref="C33" r:id="rId41" display="https://www.sec.gov/Archives/edgar/data/1326801/000162828025036791/meta-20250630.htm" xr:uid="{00000000-0004-0000-0000-000028000000}"/>
    <hyperlink ref="D33" r:id="rId42" display="https://www.sec.gov/Archives/edgar/data/1326801/000162828025047240/meta-20250930.htm" xr:uid="{00000000-0004-0000-0000-000029000000}"/>
    <hyperlink ref="E33" r:id="rId43" display="https://www.sec.gov/Archives/edgar/data/1326801/000162828026003942/meta-20251231.htm" xr:uid="{00000000-0004-0000-0000-00002A000000}"/>
    <hyperlink ref="F33" r:id="rId44" display="https://www.sec.gov/Archives/edgar/data/1326801/000162828026028526/meta-20260331.htm" xr:uid="{00000000-0004-0000-0000-00002B000000}"/>
    <hyperlink ref="G33" r:id="rId45" display="https://www.sec.gov/Archives/edgar/data/1326801/000162828026050705/meta-20260630.htm" xr:uid="{00000000-0004-0000-0000-00002C000000}"/>
    <hyperlink ref="C34" r:id="rId46" display="https://www.sec.gov/Archives/edgar/data/1326801/000162828025036791/meta-20250630.htm" xr:uid="{00000000-0004-0000-0000-00002D000000}"/>
    <hyperlink ref="D34" r:id="rId47" display="https://www.sec.gov/Archives/edgar/data/1326801/000162828025047240/meta-20250930.htm" xr:uid="{00000000-0004-0000-0000-00002E000000}"/>
    <hyperlink ref="E34" r:id="rId48" display="https://www.sec.gov/Archives/edgar/data/1326801/000162828026003942/meta-20251231.htm" xr:uid="{00000000-0004-0000-0000-00002F000000}"/>
    <hyperlink ref="F34" r:id="rId49" display="https://www.sec.gov/Archives/edgar/data/1326801/000162828026028526/meta-20260331.htm" xr:uid="{00000000-0004-0000-0000-000030000000}"/>
    <hyperlink ref="G34" r:id="rId50" display="https://www.sec.gov/Archives/edgar/data/1326801/000162828026050705/meta-20260630.htm" xr:uid="{00000000-0004-0000-0000-000031000000}"/>
  </hyperlinks>
  <pageMargins left="0.25" right="0.25" top="0.4" bottom="0.4" header="0.2" footer="0.2"/>
  <pageSetup orientation="landscape"/>
  <legacy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7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53" customWidth="1"/>
    <col min="2" max="6" width="25" customWidth="1"/>
  </cols>
  <sheetData>
    <row r="1" spans="1:6" x14ac:dyDescent="0.35">
      <c r="A1" s="25" t="s">
        <v>24</v>
      </c>
      <c r="B1" s="24"/>
      <c r="C1" s="24"/>
      <c r="D1" s="24"/>
      <c r="E1" s="24"/>
      <c r="F1" s="24"/>
    </row>
    <row r="3" spans="1:6" x14ac:dyDescent="0.35">
      <c r="A3" s="1" t="s">
        <v>3</v>
      </c>
      <c r="B3" s="1" t="s">
        <v>9</v>
      </c>
      <c r="C3" s="1" t="s">
        <v>16</v>
      </c>
      <c r="D3" s="1" t="s">
        <v>18</v>
      </c>
      <c r="E3" s="1" t="s">
        <v>20</v>
      </c>
      <c r="F3" s="1" t="s">
        <v>22</v>
      </c>
    </row>
    <row r="4" spans="1:6" ht="34" customHeight="1" x14ac:dyDescent="0.35">
      <c r="A4" s="2" t="s">
        <v>25</v>
      </c>
      <c r="B4" s="2" t="s">
        <v>26</v>
      </c>
      <c r="C4" s="2" t="s">
        <v>27</v>
      </c>
      <c r="D4" s="2" t="s">
        <v>27</v>
      </c>
      <c r="E4" s="2" t="s">
        <v>28</v>
      </c>
      <c r="F4" s="2" t="s">
        <v>27</v>
      </c>
    </row>
    <row r="5" spans="1:6" ht="34" customHeight="1" x14ac:dyDescent="0.35">
      <c r="A5" s="2" t="s">
        <v>29</v>
      </c>
      <c r="B5" s="2" t="s">
        <v>30</v>
      </c>
      <c r="C5" s="2" t="s">
        <v>31</v>
      </c>
      <c r="D5" s="2" t="s">
        <v>31</v>
      </c>
      <c r="E5" s="2" t="s">
        <v>31</v>
      </c>
      <c r="F5" s="2" t="s">
        <v>32</v>
      </c>
    </row>
    <row r="6" spans="1:6" x14ac:dyDescent="0.35">
      <c r="A6" s="2" t="s">
        <v>33</v>
      </c>
      <c r="B6" s="3">
        <f>Inputs!$F$9</f>
        <v>678</v>
      </c>
      <c r="C6" s="3">
        <f>Inputs!$F$14</f>
        <v>519.5</v>
      </c>
      <c r="D6" s="3">
        <f>Inputs!$F$19</f>
        <v>496</v>
      </c>
      <c r="E6" s="3">
        <f>Inputs!$F$24</f>
        <v>638</v>
      </c>
      <c r="F6" s="3">
        <f>Inputs!$F$29*4</f>
        <v>243.20400000000001</v>
      </c>
    </row>
    <row r="7" spans="1:6" x14ac:dyDescent="0.35">
      <c r="A7" s="2" t="s">
        <v>34</v>
      </c>
      <c r="B7" s="7">
        <f>Inputs!$R$5</f>
        <v>0.5</v>
      </c>
      <c r="C7" s="7">
        <f>Inputs!$R$6</f>
        <v>0.65</v>
      </c>
      <c r="D7" s="7">
        <f>Inputs!$R$7</f>
        <v>0.55000000000000004</v>
      </c>
      <c r="E7" s="7">
        <f>Inputs!$R$8</f>
        <v>0.85</v>
      </c>
      <c r="F7" s="7">
        <f>Inputs!$R$9</f>
        <v>0.2</v>
      </c>
    </row>
    <row r="8" spans="1:6" x14ac:dyDescent="0.35">
      <c r="A8" s="2" t="s">
        <v>35</v>
      </c>
      <c r="B8" s="4">
        <f>B6*B7</f>
        <v>339</v>
      </c>
      <c r="C8" s="4">
        <f>C6*C7</f>
        <v>337.67500000000001</v>
      </c>
      <c r="D8" s="4">
        <f>D6*D7</f>
        <v>272.8</v>
      </c>
      <c r="E8" s="4">
        <f>E6*E7</f>
        <v>542.29999999999995</v>
      </c>
      <c r="F8" s="4">
        <f>F6*F7</f>
        <v>48.640800000000006</v>
      </c>
    </row>
    <row r="9" spans="1:6" x14ac:dyDescent="0.35">
      <c r="A9" s="2" t="s">
        <v>36</v>
      </c>
      <c r="B9" s="3">
        <f>Inputs!$Z$5</f>
        <v>175</v>
      </c>
      <c r="C9" s="3">
        <f>Inputs!$Z$6</f>
        <v>200</v>
      </c>
      <c r="D9" s="3">
        <f>Inputs!$Z$7</f>
        <v>200</v>
      </c>
      <c r="E9" s="3">
        <f>Inputs!$Z$8</f>
        <v>55.662999999999997</v>
      </c>
      <c r="F9" s="3">
        <f>Inputs!$Z$9</f>
        <v>137.5</v>
      </c>
    </row>
    <row r="10" spans="1:6" ht="34" customHeight="1" x14ac:dyDescent="0.35">
      <c r="A10" s="2" t="s">
        <v>37</v>
      </c>
      <c r="B10" s="2" t="str">
        <f>Inputs!$AA$5</f>
        <v>CY2026 reported capex outlook after FY26 Q4 results</v>
      </c>
      <c r="C10" s="2" t="str">
        <f>Inputs!$AA$6</f>
        <v>Midpoint of updated CY2026 $195B-$205B company range</v>
      </c>
      <c r="D10" s="2" t="str">
        <f>Inputs!$AA$7</f>
        <v>CY2026 company outlook; no replacement numeric Q2 update</v>
      </c>
      <c r="E10" s="2" t="str">
        <f>Inputs!$AA$8</f>
        <v>FY2026 reported actual; no comparable FY2027 gross-capex guide</v>
      </c>
      <c r="F10" s="2" t="str">
        <f>Inputs!$AA$9</f>
        <v>Midpoint of narrowed CY2026 $130B-$145B company range</v>
      </c>
    </row>
    <row r="11" spans="1:6" x14ac:dyDescent="0.35">
      <c r="A11" s="2" t="s">
        <v>38</v>
      </c>
      <c r="B11" s="7">
        <f>Inputs!$T$5</f>
        <v>0.85</v>
      </c>
      <c r="C11" s="7">
        <f>Inputs!$T$6</f>
        <v>0.8</v>
      </c>
      <c r="D11" s="7">
        <f>Inputs!$T$7</f>
        <v>0.75</v>
      </c>
      <c r="E11" s="7">
        <f>Inputs!$T$8</f>
        <v>0.9</v>
      </c>
      <c r="F11" s="7">
        <f>Inputs!$T$9</f>
        <v>0.9</v>
      </c>
    </row>
    <row r="12" spans="1:6" x14ac:dyDescent="0.35">
      <c r="A12" s="2" t="s">
        <v>39</v>
      </c>
      <c r="B12" s="4">
        <f>B9*B11</f>
        <v>148.75</v>
      </c>
      <c r="C12" s="4">
        <f>C9*C11</f>
        <v>160</v>
      </c>
      <c r="D12" s="4">
        <f>D9*D11</f>
        <v>150</v>
      </c>
      <c r="E12" s="4">
        <f>E9*E11</f>
        <v>50.096699999999998</v>
      </c>
      <c r="F12" s="4">
        <f>F9*F11</f>
        <v>123.75</v>
      </c>
    </row>
    <row r="13" spans="1:6" x14ac:dyDescent="0.35">
      <c r="A13" s="2" t="s">
        <v>40</v>
      </c>
      <c r="B13" s="8">
        <f>Inputs!$S$5</f>
        <v>2.5</v>
      </c>
      <c r="C13" s="8">
        <f>Inputs!$S$6</f>
        <v>2.5</v>
      </c>
      <c r="D13" s="8">
        <f>Inputs!$S$7</f>
        <v>4</v>
      </c>
      <c r="E13" s="8">
        <f>Inputs!$S$8</f>
        <v>5</v>
      </c>
      <c r="F13" s="8" t="s">
        <v>41</v>
      </c>
    </row>
    <row r="14" spans="1:6" x14ac:dyDescent="0.35">
      <c r="A14" s="2" t="s">
        <v>13</v>
      </c>
      <c r="B14" s="4">
        <f>B8/B13</f>
        <v>135.6</v>
      </c>
      <c r="C14" s="4">
        <f>C8/C13</f>
        <v>135.07</v>
      </c>
      <c r="D14" s="4">
        <f>D8/D13</f>
        <v>68.2</v>
      </c>
      <c r="E14" s="4">
        <f>E8/E13</f>
        <v>108.46</v>
      </c>
      <c r="F14" s="4">
        <f>F8</f>
        <v>48.640800000000006</v>
      </c>
    </row>
    <row r="15" spans="1:6" x14ac:dyDescent="0.35">
      <c r="A15" s="2" t="s">
        <v>42</v>
      </c>
      <c r="B15" s="7">
        <f>Inputs!$V$5</f>
        <v>0.3</v>
      </c>
      <c r="C15" s="7">
        <f>Inputs!$V$6</f>
        <v>0.3</v>
      </c>
      <c r="D15" s="7">
        <f>Inputs!$V$7</f>
        <v>0.28000000000000003</v>
      </c>
      <c r="E15" s="7">
        <f>Inputs!$V$8</f>
        <v>0.18</v>
      </c>
      <c r="F15" s="7">
        <f>Inputs!$V$9</f>
        <v>0.32</v>
      </c>
    </row>
    <row r="16" spans="1:6" x14ac:dyDescent="0.35">
      <c r="A16" s="9" t="s">
        <v>43</v>
      </c>
      <c r="B16" s="10"/>
      <c r="C16" s="10"/>
      <c r="D16" s="10"/>
      <c r="E16" s="10"/>
      <c r="F16" s="10"/>
    </row>
    <row r="17" spans="1:6" x14ac:dyDescent="0.35">
      <c r="A17" s="2" t="s">
        <v>14</v>
      </c>
      <c r="B17" s="6">
        <f>B14*Inputs!$V$5/B12</f>
        <v>0.27347899159663863</v>
      </c>
      <c r="C17" s="6">
        <f>C14*Inputs!$V$6/C12</f>
        <v>0.25325624999999996</v>
      </c>
      <c r="D17" s="6">
        <f>D14*Inputs!$V$7/D12</f>
        <v>0.12730666666666668</v>
      </c>
      <c r="E17" s="6">
        <f>E14*Inputs!$V$8/E12</f>
        <v>0.38970231572139474</v>
      </c>
      <c r="F17" s="6">
        <f>F14*Inputs!$V$9/F12</f>
        <v>0.12577823030303031</v>
      </c>
    </row>
    <row r="18" spans="1:6" x14ac:dyDescent="0.35">
      <c r="A18" s="2" t="s">
        <v>44</v>
      </c>
      <c r="B18" s="11">
        <f>Inputs!$X$5</f>
        <v>9.3399999999999997E-2</v>
      </c>
      <c r="C18" s="11">
        <f>Inputs!$X$6</f>
        <v>0.1066</v>
      </c>
      <c r="D18" s="11">
        <f>Inputs!$X$7</f>
        <v>7.2700000000000001E-2</v>
      </c>
      <c r="E18" s="11">
        <f>Inputs!$X$8</f>
        <v>7.8299999999999995E-2</v>
      </c>
      <c r="F18" s="11">
        <f>Inputs!$X$9</f>
        <v>0.1066</v>
      </c>
    </row>
    <row r="19" spans="1:6" x14ac:dyDescent="0.35">
      <c r="A19" s="2" t="s">
        <v>45</v>
      </c>
      <c r="B19" s="6">
        <f>B17-B18</f>
        <v>0.18007899159663865</v>
      </c>
      <c r="C19" s="6">
        <f>C17-C18</f>
        <v>0.14665624999999996</v>
      </c>
      <c r="D19" s="6">
        <f>D17-D18</f>
        <v>5.4606666666666678E-2</v>
      </c>
      <c r="E19" s="6">
        <f>E17-E18</f>
        <v>0.31140231572139476</v>
      </c>
      <c r="F19" s="6">
        <f>F17-F18</f>
        <v>1.9178230303030314E-2</v>
      </c>
    </row>
    <row r="20" spans="1:6" x14ac:dyDescent="0.35">
      <c r="A20" s="2" t="s">
        <v>46</v>
      </c>
      <c r="B20" s="6">
        <f>B14*Inputs!$U$5/B12</f>
        <v>0.18231932773109244</v>
      </c>
      <c r="C20" s="6">
        <f>C14*Inputs!$U$6/C12</f>
        <v>0.1688375</v>
      </c>
      <c r="D20" s="6">
        <f>D14*Inputs!$U$7/D12</f>
        <v>9.0933333333333338E-2</v>
      </c>
      <c r="E20" s="6">
        <f>E14*Inputs!$U$8/E12</f>
        <v>0.21650128651188602</v>
      </c>
      <c r="F20" s="6">
        <f>F14*Inputs!$U$9/F12</f>
        <v>9.8264242424242434E-2</v>
      </c>
    </row>
    <row r="21" spans="1:6" x14ac:dyDescent="0.35">
      <c r="A21" s="2" t="s">
        <v>47</v>
      </c>
      <c r="B21" s="6">
        <f>B20-B18</f>
        <v>8.8919327731092443E-2</v>
      </c>
      <c r="C21" s="6">
        <f>C20-C18</f>
        <v>6.2237500000000001E-2</v>
      </c>
      <c r="D21" s="6">
        <f>D20-D18</f>
        <v>1.8233333333333338E-2</v>
      </c>
      <c r="E21" s="6">
        <f>E20-E18</f>
        <v>0.13820128651188601</v>
      </c>
      <c r="F21" s="6">
        <f>F20-F18</f>
        <v>-8.3357575757575658E-3</v>
      </c>
    </row>
    <row r="22" spans="1:6" x14ac:dyDescent="0.35">
      <c r="A22" s="2" t="s">
        <v>48</v>
      </c>
      <c r="B22" s="6">
        <f>B14*Inputs!$W$5/B12</f>
        <v>0.36463865546218488</v>
      </c>
      <c r="C22" s="6">
        <f>C14*Inputs!$W$6/C12</f>
        <v>0.337675</v>
      </c>
      <c r="D22" s="6">
        <f>D14*Inputs!$W$7/D12</f>
        <v>0.17277333333333333</v>
      </c>
      <c r="E22" s="6">
        <f>E14*Inputs!$W$8/E12</f>
        <v>0.54125321627971501</v>
      </c>
      <c r="F22" s="6">
        <f>F14*Inputs!$W$9/F12</f>
        <v>0.15722278787878793</v>
      </c>
    </row>
    <row r="23" spans="1:6" x14ac:dyDescent="0.35">
      <c r="A23" s="2" t="s">
        <v>49</v>
      </c>
      <c r="B23" s="6">
        <f>B22-B18</f>
        <v>0.2712386554621849</v>
      </c>
      <c r="C23" s="6">
        <f>C22-C18</f>
        <v>0.231075</v>
      </c>
      <c r="D23" s="6">
        <f>D22-D18</f>
        <v>0.10007333333333333</v>
      </c>
      <c r="E23" s="6">
        <f>E22-E18</f>
        <v>0.46295321627971503</v>
      </c>
      <c r="F23" s="6">
        <f>F22-F18</f>
        <v>5.0622787878787934E-2</v>
      </c>
    </row>
    <row r="24" spans="1:6" x14ac:dyDescent="0.35">
      <c r="A24" s="9" t="s">
        <v>50</v>
      </c>
      <c r="B24" s="10"/>
      <c r="C24" s="10"/>
      <c r="D24" s="10"/>
      <c r="E24" s="10"/>
      <c r="F24" s="10"/>
    </row>
    <row r="25" spans="1:6" x14ac:dyDescent="0.35">
      <c r="A25" s="2" t="s">
        <v>51</v>
      </c>
      <c r="B25" s="6">
        <f>Trajectory!$G$10</f>
        <v>0.19842209469153516</v>
      </c>
      <c r="C25" s="6">
        <f>Trajectory!$G$17</f>
        <v>0.17527188362567889</v>
      </c>
      <c r="D25" s="6">
        <f>Trajectory!$G$24</f>
        <v>4.4724242424242444E-2</v>
      </c>
      <c r="E25" s="6">
        <f>Trajectory!$G$31</f>
        <v>0.25050616018917116</v>
      </c>
      <c r="F25" s="6">
        <f>Trajectory!$G$38</f>
        <v>3.2521779608297441E-2</v>
      </c>
    </row>
    <row r="26" spans="1:6" x14ac:dyDescent="0.35">
      <c r="A26" s="2" t="s">
        <v>52</v>
      </c>
      <c r="B26" s="6">
        <f>Trajectory!$C$10</f>
        <v>0.17495196888672826</v>
      </c>
      <c r="C26" s="6">
        <f>Trajectory!$C$17</f>
        <v>1.0898663458968158E-2</v>
      </c>
      <c r="D26" s="6">
        <f>Trajectory!$C$24</f>
        <v>5.0584438989528802E-3</v>
      </c>
      <c r="E26" s="6">
        <f>Trajectory!$C$31</f>
        <v>5.0697797356828209E-2</v>
      </c>
      <c r="F26" s="6">
        <f>Trajectory!$C$38</f>
        <v>9.2019536536301183E-2</v>
      </c>
    </row>
    <row r="27" spans="1:6" x14ac:dyDescent="0.35">
      <c r="A27" s="2" t="s">
        <v>53</v>
      </c>
      <c r="B27" s="12">
        <f>(B25-B26)*10000</f>
        <v>234.70125804806895</v>
      </c>
      <c r="C27" s="12">
        <f>(C25-C26)*10000</f>
        <v>1643.7322016671073</v>
      </c>
      <c r="D27" s="12">
        <f>(D25-D26)*10000</f>
        <v>396.65798525289563</v>
      </c>
      <c r="E27" s="12">
        <f>(E25-E26)*10000</f>
        <v>1998.0836283234294</v>
      </c>
      <c r="F27" s="12">
        <f>(F25-F26)*10000</f>
        <v>-594.97756928003741</v>
      </c>
    </row>
  </sheetData>
  <mergeCells count="1">
    <mergeCell ref="A1:F1"/>
  </mergeCells>
  <conditionalFormatting sqref="B19:F19">
    <cfRule type="cellIs" dxfId="9" priority="1" operator="greaterThanOrEqual">
      <formula>0</formula>
    </cfRule>
    <cfRule type="cellIs" dxfId="8" priority="2" operator="lessThan">
      <formula>0</formula>
    </cfRule>
  </conditionalFormatting>
  <conditionalFormatting sqref="B21:F21">
    <cfRule type="cellIs" dxfId="7" priority="3" operator="greaterThanOrEqual">
      <formula>0</formula>
    </cfRule>
    <cfRule type="cellIs" dxfId="6" priority="4" operator="lessThan">
      <formula>0</formula>
    </cfRule>
  </conditionalFormatting>
  <conditionalFormatting sqref="B23:F23">
    <cfRule type="cellIs" dxfId="5" priority="5" operator="greaterThanOrEqual">
      <formula>0</formula>
    </cfRule>
    <cfRule type="cellIs" dxfId="4" priority="6" operator="lessThan">
      <formula>0</formula>
    </cfRule>
  </conditionalFormatting>
  <conditionalFormatting sqref="B25:F27">
    <cfRule type="cellIs" dxfId="3" priority="7" operator="greaterThanOrEqual">
      <formula>0</formula>
    </cfRule>
    <cfRule type="cellIs" dxfId="2" priority="8" operator="lessThan">
      <formula>0</formula>
    </cfRule>
  </conditionalFormatting>
  <hyperlinks>
    <hyperlink ref="B6" r:id="rId1" display="https://www.sec.gov/Archives/edgar/data/789019/000119312526323660/msft-20260630.htm" xr:uid="{00000000-0004-0000-0100-000000000000}"/>
    <hyperlink ref="C6" r:id="rId2" display="https://www.sec.gov/Archives/edgar/data/1652044/000165204426000071/goog-20260630.htm" xr:uid="{00000000-0004-0000-0100-000001000000}"/>
    <hyperlink ref="D6" r:id="rId3" display="https://www.sec.gov/Archives/edgar/data/1018724/000101872426000026/amzn-20260630.htm" xr:uid="{00000000-0004-0000-0100-000002000000}"/>
    <hyperlink ref="E6" r:id="rId4" display="https://www.sec.gov/Archives/edgar/data/1341439/000119312526277521/orcl-20260531.htm" xr:uid="{00000000-0004-0000-0100-000003000000}"/>
    <hyperlink ref="F6" r:id="rId5" display="https://www.sec.gov/Archives/edgar/data/1326801/000162828026050705/meta-20260630.htm" xr:uid="{00000000-0004-0000-0100-000004000000}"/>
    <hyperlink ref="B9" r:id="rId6" display="https://www.microsoft.com/en-us/investor/events/fy-2026/earnings-fy-2026-q4" xr:uid="{00000000-0004-0000-0100-000005000000}"/>
    <hyperlink ref="C9" r:id="rId7" display="https://abc.xyz/investor/events/event-details/2026/2026-Q2-Earnings-Call-2026-GgTAq7Is0z/default.aspx" xr:uid="{00000000-0004-0000-0100-000006000000}"/>
    <hyperlink ref="D9" r:id="rId8" display="https://www.sec.gov/Archives/edgar/data/1018724/000101872426000002/amzn-20251231xex991.htm" xr:uid="{00000000-0004-0000-0100-000007000000}"/>
    <hyperlink ref="E9" r:id="rId9" display="https://www.sec.gov/Archives/edgar/data/1341439/000119312526265848/orcl-ex99_1.htm" xr:uid="{00000000-0004-0000-0100-000008000000}"/>
    <hyperlink ref="F9" r:id="rId10" display="https://www.sec.gov/Archives/edgar/data/1326801/000162828026050596/meta-06302026xexhibit991.htm" xr:uid="{00000000-0004-0000-0100-000009000000}"/>
    <hyperlink ref="B18" r:id="rId11" display="https://pages.stern.nyu.edu/~adamodar/New_Home_Page/datafile/wacc.html" xr:uid="{00000000-0004-0000-0100-00000A000000}"/>
    <hyperlink ref="C18" r:id="rId12" display="https://pages.stern.nyu.edu/~adamodar/New_Home_Page/datafile/wacc.html" xr:uid="{00000000-0004-0000-0100-00000B000000}"/>
    <hyperlink ref="D18" r:id="rId13" display="https://pages.stern.nyu.edu/~adamodar/New_Home_Page/datafile/wacc.html" xr:uid="{00000000-0004-0000-0100-00000C000000}"/>
    <hyperlink ref="E18" r:id="rId14" display="https://pages.stern.nyu.edu/~adamodar/New_Home_Page/datafile/wacc.html" xr:uid="{00000000-0004-0000-0100-00000D000000}"/>
    <hyperlink ref="F18" r:id="rId15" display="https://pages.stern.nyu.edu/~adamodar/New_Home_Page/datafile/wacc.html" xr:uid="{00000000-0004-0000-0100-00000E000000}"/>
  </hyperlinks>
  <pageMargins left="0.25" right="0.25" top="0.4" bottom="0.4" header="0.2" footer="0.2"/>
  <pageSetup orientation="landscape"/>
  <legacy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29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7" customWidth="1"/>
    <col min="2" max="2" width="9" customWidth="1"/>
    <col min="3" max="3" width="12" customWidth="1"/>
    <col min="4" max="4" width="14" customWidth="1"/>
    <col min="5" max="5" width="13" customWidth="1"/>
    <col min="6" max="6" width="19" customWidth="1"/>
    <col min="7" max="7" width="29" customWidth="1"/>
    <col min="8" max="8" width="18" customWidth="1"/>
    <col min="9" max="11" width="42" customWidth="1"/>
    <col min="12" max="12" width="65" customWidth="1"/>
    <col min="13" max="13" width="20" customWidth="1"/>
    <col min="14" max="14" width="21" customWidth="1"/>
    <col min="16" max="16" width="9" customWidth="1"/>
    <col min="17" max="17" width="39" customWidth="1"/>
    <col min="18" max="18" width="18" customWidth="1"/>
    <col min="19" max="19" width="17" customWidth="1"/>
    <col min="20" max="20" width="16" customWidth="1"/>
    <col min="21" max="23" width="17" customWidth="1"/>
    <col min="24" max="24" width="12" customWidth="1"/>
    <col min="25" max="25" width="44" customWidth="1"/>
    <col min="26" max="26" width="21" customWidth="1"/>
    <col min="27" max="27" width="37" customWidth="1"/>
    <col min="28" max="28" width="44" customWidth="1"/>
    <col min="29" max="29" width="70" customWidth="1"/>
  </cols>
  <sheetData>
    <row r="1" spans="1:29" x14ac:dyDescent="0.35">
      <c r="A1" s="25" t="s">
        <v>54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P1" s="25" t="s">
        <v>55</v>
      </c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 spans="1:29" ht="34" customHeight="1" x14ac:dyDescent="0.35">
      <c r="A2" s="26" t="s">
        <v>56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4" spans="1:29" ht="26" x14ac:dyDescent="0.35">
      <c r="A4" s="1" t="s">
        <v>2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11</v>
      </c>
      <c r="I4" s="1" t="s">
        <v>63</v>
      </c>
      <c r="J4" s="1" t="s">
        <v>64</v>
      </c>
      <c r="K4" s="1" t="s">
        <v>65</v>
      </c>
      <c r="L4" s="1" t="s">
        <v>66</v>
      </c>
      <c r="M4" s="1" t="s">
        <v>67</v>
      </c>
      <c r="N4" s="1" t="s">
        <v>68</v>
      </c>
      <c r="P4" s="1" t="s">
        <v>57</v>
      </c>
      <c r="Q4" s="1" t="s">
        <v>69</v>
      </c>
      <c r="R4" s="1" t="s">
        <v>70</v>
      </c>
      <c r="S4" s="1" t="s">
        <v>71</v>
      </c>
      <c r="T4" s="1" t="s">
        <v>72</v>
      </c>
      <c r="U4" s="1" t="s">
        <v>73</v>
      </c>
      <c r="V4" s="1" t="s">
        <v>42</v>
      </c>
      <c r="W4" s="1" t="s">
        <v>74</v>
      </c>
      <c r="X4" s="1" t="s">
        <v>75</v>
      </c>
      <c r="Y4" s="1" t="s">
        <v>76</v>
      </c>
      <c r="Z4" s="1" t="s">
        <v>36</v>
      </c>
      <c r="AA4" s="1" t="s">
        <v>37</v>
      </c>
      <c r="AB4" s="1" t="s">
        <v>77</v>
      </c>
      <c r="AC4" s="1" t="s">
        <v>78</v>
      </c>
    </row>
    <row r="5" spans="1:29" ht="55" customHeight="1" x14ac:dyDescent="0.35">
      <c r="A5" s="2" t="s">
        <v>79</v>
      </c>
      <c r="B5" s="2" t="s">
        <v>9</v>
      </c>
      <c r="C5" s="2" t="s">
        <v>4</v>
      </c>
      <c r="D5" s="2" t="s">
        <v>80</v>
      </c>
      <c r="E5" s="13">
        <v>45838</v>
      </c>
      <c r="F5" s="14">
        <v>368</v>
      </c>
      <c r="G5" s="2" t="s">
        <v>81</v>
      </c>
      <c r="H5" s="14">
        <v>24.2</v>
      </c>
      <c r="I5" s="2" t="s">
        <v>82</v>
      </c>
      <c r="J5" s="15" t="s">
        <v>83</v>
      </c>
      <c r="K5" s="15" t="s">
        <v>84</v>
      </c>
      <c r="L5" s="2" t="s">
        <v>85</v>
      </c>
      <c r="M5" s="2" t="s">
        <v>86</v>
      </c>
      <c r="N5" s="2" t="s">
        <v>87</v>
      </c>
      <c r="P5" s="2" t="s">
        <v>9</v>
      </c>
      <c r="Q5" s="2" t="s">
        <v>30</v>
      </c>
      <c r="R5" s="7">
        <v>0.5</v>
      </c>
      <c r="S5" s="8">
        <v>2.5</v>
      </c>
      <c r="T5" s="7">
        <v>0.85</v>
      </c>
      <c r="U5" s="7">
        <v>0.2</v>
      </c>
      <c r="V5" s="7">
        <v>0.3</v>
      </c>
      <c r="W5" s="7">
        <v>0.4</v>
      </c>
      <c r="X5" s="16">
        <v>9.3399999999999997E-2</v>
      </c>
      <c r="Y5" s="2" t="s">
        <v>88</v>
      </c>
      <c r="Z5" s="17">
        <v>175</v>
      </c>
      <c r="AA5" s="2" t="s">
        <v>89</v>
      </c>
      <c r="AB5" s="15" t="s">
        <v>90</v>
      </c>
      <c r="AC5" s="2" t="s">
        <v>91</v>
      </c>
    </row>
    <row r="6" spans="1:29" ht="55" customHeight="1" x14ac:dyDescent="0.35">
      <c r="A6" s="2" t="s">
        <v>79</v>
      </c>
      <c r="B6" s="2" t="s">
        <v>9</v>
      </c>
      <c r="C6" s="2" t="s">
        <v>5</v>
      </c>
      <c r="D6" s="2" t="s">
        <v>92</v>
      </c>
      <c r="E6" s="13">
        <v>45930</v>
      </c>
      <c r="F6" s="14">
        <v>392</v>
      </c>
      <c r="G6" s="2" t="s">
        <v>81</v>
      </c>
      <c r="H6" s="14">
        <v>34.9</v>
      </c>
      <c r="I6" s="2" t="s">
        <v>93</v>
      </c>
      <c r="J6" s="15" t="s">
        <v>94</v>
      </c>
      <c r="K6" s="15" t="s">
        <v>95</v>
      </c>
      <c r="L6" s="2" t="s">
        <v>96</v>
      </c>
      <c r="M6" s="2" t="s">
        <v>97</v>
      </c>
      <c r="N6" s="2" t="s">
        <v>98</v>
      </c>
      <c r="P6" s="2" t="s">
        <v>16</v>
      </c>
      <c r="Q6" s="2" t="s">
        <v>31</v>
      </c>
      <c r="R6" s="7">
        <v>0.65</v>
      </c>
      <c r="S6" s="8">
        <v>2.5</v>
      </c>
      <c r="T6" s="7">
        <v>0.8</v>
      </c>
      <c r="U6" s="7">
        <v>0.2</v>
      </c>
      <c r="V6" s="7">
        <v>0.3</v>
      </c>
      <c r="W6" s="7">
        <v>0.4</v>
      </c>
      <c r="X6" s="16">
        <v>0.1066</v>
      </c>
      <c r="Y6" s="2" t="s">
        <v>99</v>
      </c>
      <c r="Z6" s="17">
        <v>200</v>
      </c>
      <c r="AA6" s="2" t="s">
        <v>100</v>
      </c>
      <c r="AB6" s="15" t="s">
        <v>101</v>
      </c>
      <c r="AC6" s="2" t="s">
        <v>102</v>
      </c>
    </row>
    <row r="7" spans="1:29" ht="55" customHeight="1" x14ac:dyDescent="0.35">
      <c r="A7" s="2" t="s">
        <v>79</v>
      </c>
      <c r="B7" s="2" t="s">
        <v>9</v>
      </c>
      <c r="C7" s="2" t="s">
        <v>6</v>
      </c>
      <c r="D7" s="2" t="s">
        <v>103</v>
      </c>
      <c r="E7" s="13">
        <v>46022</v>
      </c>
      <c r="F7" s="14">
        <v>625</v>
      </c>
      <c r="G7" s="2" t="s">
        <v>81</v>
      </c>
      <c r="H7" s="14">
        <v>37.5</v>
      </c>
      <c r="I7" s="2" t="s">
        <v>93</v>
      </c>
      <c r="J7" s="15" t="s">
        <v>104</v>
      </c>
      <c r="K7" s="15" t="s">
        <v>105</v>
      </c>
      <c r="L7" s="2" t="s">
        <v>106</v>
      </c>
      <c r="M7" s="2" t="s">
        <v>107</v>
      </c>
      <c r="N7" s="2" t="s">
        <v>108</v>
      </c>
      <c r="P7" s="2" t="s">
        <v>18</v>
      </c>
      <c r="Q7" s="2" t="s">
        <v>31</v>
      </c>
      <c r="R7" s="7">
        <v>0.55000000000000004</v>
      </c>
      <c r="S7" s="8">
        <v>4</v>
      </c>
      <c r="T7" s="7">
        <v>0.75</v>
      </c>
      <c r="U7" s="7">
        <v>0.2</v>
      </c>
      <c r="V7" s="7">
        <v>0.28000000000000003</v>
      </c>
      <c r="W7" s="7">
        <v>0.38</v>
      </c>
      <c r="X7" s="16">
        <v>7.2700000000000001E-2</v>
      </c>
      <c r="Y7" s="2" t="s">
        <v>109</v>
      </c>
      <c r="Z7" s="17">
        <v>200</v>
      </c>
      <c r="AA7" s="2" t="s">
        <v>110</v>
      </c>
      <c r="AB7" s="15" t="s">
        <v>111</v>
      </c>
      <c r="AC7" s="2" t="s">
        <v>112</v>
      </c>
    </row>
    <row r="8" spans="1:29" ht="55" customHeight="1" x14ac:dyDescent="0.35">
      <c r="A8" s="2" t="s">
        <v>79</v>
      </c>
      <c r="B8" s="2" t="s">
        <v>9</v>
      </c>
      <c r="C8" s="2" t="s">
        <v>7</v>
      </c>
      <c r="D8" s="2" t="s">
        <v>113</v>
      </c>
      <c r="E8" s="13">
        <v>46112</v>
      </c>
      <c r="F8" s="14">
        <v>627</v>
      </c>
      <c r="G8" s="2" t="s">
        <v>81</v>
      </c>
      <c r="H8" s="14">
        <v>31.9</v>
      </c>
      <c r="I8" s="2" t="s">
        <v>93</v>
      </c>
      <c r="J8" s="15" t="s">
        <v>114</v>
      </c>
      <c r="K8" s="15" t="s">
        <v>115</v>
      </c>
      <c r="L8" s="2" t="s">
        <v>116</v>
      </c>
      <c r="M8" s="2" t="s">
        <v>117</v>
      </c>
      <c r="N8" s="2" t="s">
        <v>118</v>
      </c>
      <c r="P8" s="2" t="s">
        <v>20</v>
      </c>
      <c r="Q8" s="2" t="s">
        <v>31</v>
      </c>
      <c r="R8" s="7">
        <v>0.85</v>
      </c>
      <c r="S8" s="8">
        <v>5</v>
      </c>
      <c r="T8" s="7">
        <v>0.9</v>
      </c>
      <c r="U8" s="7">
        <v>0.1</v>
      </c>
      <c r="V8" s="7">
        <v>0.18</v>
      </c>
      <c r="W8" s="7">
        <v>0.25</v>
      </c>
      <c r="X8" s="16">
        <v>7.8299999999999995E-2</v>
      </c>
      <c r="Y8" s="2" t="s">
        <v>119</v>
      </c>
      <c r="Z8" s="17">
        <v>55.662999999999997</v>
      </c>
      <c r="AA8" s="2" t="s">
        <v>120</v>
      </c>
      <c r="AB8" s="15" t="s">
        <v>121</v>
      </c>
      <c r="AC8" s="2" t="s">
        <v>122</v>
      </c>
    </row>
    <row r="9" spans="1:29" ht="55" customHeight="1" x14ac:dyDescent="0.35">
      <c r="A9" s="2" t="s">
        <v>79</v>
      </c>
      <c r="B9" s="2" t="s">
        <v>9</v>
      </c>
      <c r="C9" s="2" t="s">
        <v>8</v>
      </c>
      <c r="D9" s="2" t="s">
        <v>123</v>
      </c>
      <c r="E9" s="13">
        <v>46203</v>
      </c>
      <c r="F9" s="14">
        <v>678</v>
      </c>
      <c r="G9" s="2" t="s">
        <v>81</v>
      </c>
      <c r="H9" s="14">
        <v>41</v>
      </c>
      <c r="I9" s="2" t="s">
        <v>124</v>
      </c>
      <c r="J9" s="15" t="s">
        <v>125</v>
      </c>
      <c r="K9" s="15" t="s">
        <v>90</v>
      </c>
      <c r="L9" s="2" t="s">
        <v>126</v>
      </c>
      <c r="M9" s="2" t="s">
        <v>127</v>
      </c>
      <c r="N9" s="2" t="s">
        <v>128</v>
      </c>
      <c r="P9" s="2" t="s">
        <v>22</v>
      </c>
      <c r="Q9" s="2" t="s">
        <v>32</v>
      </c>
      <c r="R9" s="7">
        <v>0.2</v>
      </c>
      <c r="S9" s="8"/>
      <c r="T9" s="7">
        <v>0.9</v>
      </c>
      <c r="U9" s="7">
        <v>0.25</v>
      </c>
      <c r="V9" s="7">
        <v>0.32</v>
      </c>
      <c r="W9" s="7">
        <v>0.4</v>
      </c>
      <c r="X9" s="16">
        <v>0.1066</v>
      </c>
      <c r="Y9" s="2" t="s">
        <v>99</v>
      </c>
      <c r="Z9" s="17">
        <v>137.5</v>
      </c>
      <c r="AA9" s="2" t="s">
        <v>129</v>
      </c>
      <c r="AB9" s="15" t="s">
        <v>130</v>
      </c>
      <c r="AC9" s="2" t="s">
        <v>131</v>
      </c>
    </row>
    <row r="10" spans="1:29" ht="55" customHeight="1" x14ac:dyDescent="0.35">
      <c r="A10" s="2" t="s">
        <v>132</v>
      </c>
      <c r="B10" s="2" t="s">
        <v>16</v>
      </c>
      <c r="C10" s="2" t="s">
        <v>4</v>
      </c>
      <c r="D10" s="2" t="s">
        <v>133</v>
      </c>
      <c r="E10" s="13">
        <v>45838</v>
      </c>
      <c r="F10" s="14">
        <v>108.2</v>
      </c>
      <c r="G10" s="2" t="s">
        <v>134</v>
      </c>
      <c r="H10" s="14">
        <v>22.446000000000002</v>
      </c>
      <c r="I10" s="2" t="s">
        <v>135</v>
      </c>
      <c r="J10" s="15" t="s">
        <v>136</v>
      </c>
      <c r="K10" s="15" t="s">
        <v>136</v>
      </c>
      <c r="L10" s="2" t="s">
        <v>137</v>
      </c>
      <c r="M10" s="2" t="s">
        <v>138</v>
      </c>
      <c r="N10" s="2" t="s">
        <v>139</v>
      </c>
    </row>
    <row r="11" spans="1:29" ht="55" customHeight="1" x14ac:dyDescent="0.35">
      <c r="A11" s="2" t="s">
        <v>132</v>
      </c>
      <c r="B11" s="2" t="s">
        <v>16</v>
      </c>
      <c r="C11" s="2" t="s">
        <v>5</v>
      </c>
      <c r="D11" s="2" t="s">
        <v>140</v>
      </c>
      <c r="E11" s="13">
        <v>45930</v>
      </c>
      <c r="F11" s="14">
        <v>157.69999999999999</v>
      </c>
      <c r="G11" s="2" t="s">
        <v>134</v>
      </c>
      <c r="H11" s="14">
        <v>23.952999999999999</v>
      </c>
      <c r="I11" s="2" t="s">
        <v>135</v>
      </c>
      <c r="J11" s="15" t="s">
        <v>141</v>
      </c>
      <c r="K11" s="15" t="s">
        <v>141</v>
      </c>
      <c r="L11" s="2" t="s">
        <v>142</v>
      </c>
      <c r="M11" s="2" t="s">
        <v>143</v>
      </c>
      <c r="N11" s="2" t="s">
        <v>144</v>
      </c>
    </row>
    <row r="12" spans="1:29" ht="55" customHeight="1" x14ac:dyDescent="0.35">
      <c r="A12" s="2" t="s">
        <v>132</v>
      </c>
      <c r="B12" s="2" t="s">
        <v>16</v>
      </c>
      <c r="C12" s="2" t="s">
        <v>6</v>
      </c>
      <c r="D12" s="2" t="s">
        <v>145</v>
      </c>
      <c r="E12" s="13">
        <v>46022</v>
      </c>
      <c r="F12" s="14">
        <v>242.8</v>
      </c>
      <c r="G12" s="2" t="s">
        <v>134</v>
      </c>
      <c r="H12" s="14">
        <v>27.850999999999999</v>
      </c>
      <c r="I12" s="2" t="s">
        <v>135</v>
      </c>
      <c r="J12" s="15" t="s">
        <v>146</v>
      </c>
      <c r="K12" s="15" t="s">
        <v>146</v>
      </c>
      <c r="L12" s="2" t="s">
        <v>147</v>
      </c>
      <c r="M12" s="2" t="s">
        <v>148</v>
      </c>
      <c r="N12" s="2" t="s">
        <v>149</v>
      </c>
    </row>
    <row r="13" spans="1:29" ht="55" customHeight="1" x14ac:dyDescent="0.35">
      <c r="A13" s="2" t="s">
        <v>132</v>
      </c>
      <c r="B13" s="2" t="s">
        <v>16</v>
      </c>
      <c r="C13" s="2" t="s">
        <v>7</v>
      </c>
      <c r="D13" s="2" t="s">
        <v>150</v>
      </c>
      <c r="E13" s="13">
        <v>46112</v>
      </c>
      <c r="F13" s="14">
        <v>467.6</v>
      </c>
      <c r="G13" s="2" t="s">
        <v>134</v>
      </c>
      <c r="H13" s="14">
        <v>35.673999999999999</v>
      </c>
      <c r="I13" s="2" t="s">
        <v>135</v>
      </c>
      <c r="J13" s="15" t="s">
        <v>151</v>
      </c>
      <c r="K13" s="15" t="s">
        <v>151</v>
      </c>
      <c r="L13" s="2" t="s">
        <v>152</v>
      </c>
      <c r="M13" s="2" t="s">
        <v>153</v>
      </c>
      <c r="N13" s="2" t="s">
        <v>154</v>
      </c>
    </row>
    <row r="14" spans="1:29" ht="55" customHeight="1" x14ac:dyDescent="0.35">
      <c r="A14" s="2" t="s">
        <v>132</v>
      </c>
      <c r="B14" s="2" t="s">
        <v>16</v>
      </c>
      <c r="C14" s="2" t="s">
        <v>8</v>
      </c>
      <c r="D14" s="2" t="s">
        <v>155</v>
      </c>
      <c r="E14" s="13">
        <v>46203</v>
      </c>
      <c r="F14" s="14">
        <v>519.5</v>
      </c>
      <c r="G14" s="2" t="s">
        <v>134</v>
      </c>
      <c r="H14" s="14">
        <v>44.923999999999999</v>
      </c>
      <c r="I14" s="2" t="s">
        <v>135</v>
      </c>
      <c r="J14" s="15" t="s">
        <v>156</v>
      </c>
      <c r="K14" s="15" t="s">
        <v>156</v>
      </c>
      <c r="L14" s="2" t="s">
        <v>157</v>
      </c>
      <c r="M14" s="2" t="s">
        <v>158</v>
      </c>
      <c r="N14" s="2" t="s">
        <v>159</v>
      </c>
    </row>
    <row r="15" spans="1:29" ht="55" customHeight="1" x14ac:dyDescent="0.35">
      <c r="A15" s="2" t="s">
        <v>160</v>
      </c>
      <c r="B15" s="2" t="s">
        <v>18</v>
      </c>
      <c r="C15" s="2" t="s">
        <v>4</v>
      </c>
      <c r="D15" s="2" t="s">
        <v>133</v>
      </c>
      <c r="E15" s="13">
        <v>45838</v>
      </c>
      <c r="F15" s="14">
        <v>195</v>
      </c>
      <c r="G15" s="2" t="s">
        <v>161</v>
      </c>
      <c r="H15" s="14">
        <v>32.183</v>
      </c>
      <c r="I15" s="2" t="s">
        <v>162</v>
      </c>
      <c r="J15" s="15" t="s">
        <v>163</v>
      </c>
      <c r="K15" s="15" t="s">
        <v>163</v>
      </c>
      <c r="L15" s="2" t="s">
        <v>164</v>
      </c>
      <c r="M15" s="2" t="s">
        <v>165</v>
      </c>
      <c r="N15" s="2" t="s">
        <v>166</v>
      </c>
    </row>
    <row r="16" spans="1:29" ht="55" customHeight="1" x14ac:dyDescent="0.35">
      <c r="A16" s="2" t="s">
        <v>160</v>
      </c>
      <c r="B16" s="2" t="s">
        <v>18</v>
      </c>
      <c r="C16" s="2" t="s">
        <v>5</v>
      </c>
      <c r="D16" s="2" t="s">
        <v>140</v>
      </c>
      <c r="E16" s="13">
        <v>45930</v>
      </c>
      <c r="F16" s="14">
        <v>200</v>
      </c>
      <c r="G16" s="2" t="s">
        <v>161</v>
      </c>
      <c r="H16" s="14">
        <v>35.094999999999999</v>
      </c>
      <c r="I16" s="2" t="s">
        <v>162</v>
      </c>
      <c r="J16" s="15" t="s">
        <v>167</v>
      </c>
      <c r="K16" s="15" t="s">
        <v>167</v>
      </c>
      <c r="L16" s="2" t="s">
        <v>168</v>
      </c>
      <c r="M16" s="2" t="s">
        <v>169</v>
      </c>
      <c r="N16" s="2" t="s">
        <v>170</v>
      </c>
    </row>
    <row r="17" spans="1:14" ht="55" customHeight="1" x14ac:dyDescent="0.35">
      <c r="A17" s="2" t="s">
        <v>160</v>
      </c>
      <c r="B17" s="2" t="s">
        <v>18</v>
      </c>
      <c r="C17" s="2" t="s">
        <v>6</v>
      </c>
      <c r="D17" s="2" t="s">
        <v>145</v>
      </c>
      <c r="E17" s="13">
        <v>46022</v>
      </c>
      <c r="F17" s="14">
        <v>244</v>
      </c>
      <c r="G17" s="2" t="s">
        <v>161</v>
      </c>
      <c r="H17" s="14">
        <v>39.521999999999998</v>
      </c>
      <c r="I17" s="2" t="s">
        <v>162</v>
      </c>
      <c r="J17" s="15" t="s">
        <v>171</v>
      </c>
      <c r="K17" s="15" t="s">
        <v>171</v>
      </c>
      <c r="L17" s="2" t="s">
        <v>172</v>
      </c>
      <c r="M17" s="2" t="s">
        <v>173</v>
      </c>
      <c r="N17" s="2" t="s">
        <v>174</v>
      </c>
    </row>
    <row r="18" spans="1:14" ht="55" customHeight="1" x14ac:dyDescent="0.35">
      <c r="A18" s="2" t="s">
        <v>160</v>
      </c>
      <c r="B18" s="2" t="s">
        <v>18</v>
      </c>
      <c r="C18" s="2" t="s">
        <v>7</v>
      </c>
      <c r="D18" s="2" t="s">
        <v>150</v>
      </c>
      <c r="E18" s="13">
        <v>46112</v>
      </c>
      <c r="F18" s="14">
        <v>364</v>
      </c>
      <c r="G18" s="2" t="s">
        <v>161</v>
      </c>
      <c r="H18" s="14">
        <v>44.203000000000003</v>
      </c>
      <c r="I18" s="2" t="s">
        <v>162</v>
      </c>
      <c r="J18" s="15" t="s">
        <v>175</v>
      </c>
      <c r="K18" s="15" t="s">
        <v>175</v>
      </c>
      <c r="L18" s="2" t="s">
        <v>176</v>
      </c>
      <c r="M18" s="2" t="s">
        <v>177</v>
      </c>
      <c r="N18" s="2" t="s">
        <v>178</v>
      </c>
    </row>
    <row r="19" spans="1:14" ht="55" customHeight="1" x14ac:dyDescent="0.35">
      <c r="A19" s="2" t="s">
        <v>160</v>
      </c>
      <c r="B19" s="2" t="s">
        <v>18</v>
      </c>
      <c r="C19" s="2" t="s">
        <v>8</v>
      </c>
      <c r="D19" s="2" t="s">
        <v>155</v>
      </c>
      <c r="E19" s="13">
        <v>46203</v>
      </c>
      <c r="F19" s="14">
        <v>496</v>
      </c>
      <c r="G19" s="2" t="s">
        <v>161</v>
      </c>
      <c r="H19" s="14">
        <v>54.207999999999998</v>
      </c>
      <c r="I19" s="2" t="s">
        <v>179</v>
      </c>
      <c r="J19" s="15" t="s">
        <v>180</v>
      </c>
      <c r="K19" s="15" t="s">
        <v>180</v>
      </c>
      <c r="L19" s="2" t="s">
        <v>181</v>
      </c>
      <c r="M19" s="2" t="s">
        <v>182</v>
      </c>
      <c r="N19" s="2" t="s">
        <v>183</v>
      </c>
    </row>
    <row r="20" spans="1:14" ht="55" customHeight="1" x14ac:dyDescent="0.35">
      <c r="A20" s="2" t="s">
        <v>184</v>
      </c>
      <c r="B20" s="2" t="s">
        <v>20</v>
      </c>
      <c r="C20" s="2" t="s">
        <v>4</v>
      </c>
      <c r="D20" s="2" t="s">
        <v>80</v>
      </c>
      <c r="E20" s="13">
        <v>45808</v>
      </c>
      <c r="F20" s="14">
        <v>137.80000000000001</v>
      </c>
      <c r="G20" s="2" t="s">
        <v>185</v>
      </c>
      <c r="H20" s="14">
        <v>9.08</v>
      </c>
      <c r="I20" s="2" t="s">
        <v>186</v>
      </c>
      <c r="J20" s="15" t="s">
        <v>187</v>
      </c>
      <c r="K20" s="15" t="s">
        <v>187</v>
      </c>
      <c r="L20" s="2" t="s">
        <v>188</v>
      </c>
      <c r="M20" s="2" t="s">
        <v>189</v>
      </c>
      <c r="N20" s="2" t="s">
        <v>190</v>
      </c>
    </row>
    <row r="21" spans="1:14" ht="55" customHeight="1" x14ac:dyDescent="0.35">
      <c r="A21" s="2" t="s">
        <v>184</v>
      </c>
      <c r="B21" s="2" t="s">
        <v>20</v>
      </c>
      <c r="C21" s="2" t="s">
        <v>5</v>
      </c>
      <c r="D21" s="2" t="s">
        <v>92</v>
      </c>
      <c r="E21" s="13">
        <v>45900</v>
      </c>
      <c r="F21" s="14">
        <v>455.3</v>
      </c>
      <c r="G21" s="2" t="s">
        <v>185</v>
      </c>
      <c r="H21" s="14">
        <v>8.5020000000000007</v>
      </c>
      <c r="I21" s="2" t="s">
        <v>191</v>
      </c>
      <c r="J21" s="15" t="s">
        <v>192</v>
      </c>
      <c r="K21" s="15" t="s">
        <v>192</v>
      </c>
      <c r="L21" s="2" t="s">
        <v>193</v>
      </c>
      <c r="M21" s="2" t="s">
        <v>194</v>
      </c>
      <c r="N21" s="2" t="s">
        <v>195</v>
      </c>
    </row>
    <row r="22" spans="1:14" ht="55" customHeight="1" x14ac:dyDescent="0.35">
      <c r="A22" s="2" t="s">
        <v>184</v>
      </c>
      <c r="B22" s="2" t="s">
        <v>20</v>
      </c>
      <c r="C22" s="2" t="s">
        <v>6</v>
      </c>
      <c r="D22" s="2" t="s">
        <v>103</v>
      </c>
      <c r="E22" s="13">
        <v>45991</v>
      </c>
      <c r="F22" s="14">
        <v>523.29999999999995</v>
      </c>
      <c r="G22" s="2" t="s">
        <v>185</v>
      </c>
      <c r="H22" s="14">
        <v>12.032999999999999</v>
      </c>
      <c r="I22" s="2" t="s">
        <v>196</v>
      </c>
      <c r="J22" s="15" t="s">
        <v>197</v>
      </c>
      <c r="K22" s="15" t="s">
        <v>197</v>
      </c>
      <c r="L22" s="2" t="s">
        <v>198</v>
      </c>
      <c r="M22" s="2" t="s">
        <v>199</v>
      </c>
      <c r="N22" s="2" t="s">
        <v>200</v>
      </c>
    </row>
    <row r="23" spans="1:14" ht="55" customHeight="1" x14ac:dyDescent="0.35">
      <c r="A23" s="2" t="s">
        <v>184</v>
      </c>
      <c r="B23" s="2" t="s">
        <v>20</v>
      </c>
      <c r="C23" s="2" t="s">
        <v>7</v>
      </c>
      <c r="D23" s="2" t="s">
        <v>113</v>
      </c>
      <c r="E23" s="13">
        <v>46081</v>
      </c>
      <c r="F23" s="14">
        <v>552.6</v>
      </c>
      <c r="G23" s="2" t="s">
        <v>185</v>
      </c>
      <c r="H23" s="14">
        <v>18.635000000000002</v>
      </c>
      <c r="I23" s="2" t="s">
        <v>196</v>
      </c>
      <c r="J23" s="15" t="s">
        <v>201</v>
      </c>
      <c r="K23" s="15" t="s">
        <v>201</v>
      </c>
      <c r="L23" s="2" t="s">
        <v>202</v>
      </c>
      <c r="M23" s="2" t="s">
        <v>203</v>
      </c>
      <c r="N23" s="2" t="s">
        <v>204</v>
      </c>
    </row>
    <row r="24" spans="1:14" ht="55" customHeight="1" x14ac:dyDescent="0.35">
      <c r="A24" s="2" t="s">
        <v>184</v>
      </c>
      <c r="B24" s="2" t="s">
        <v>20</v>
      </c>
      <c r="C24" s="2" t="s">
        <v>8</v>
      </c>
      <c r="D24" s="2" t="s">
        <v>123</v>
      </c>
      <c r="E24" s="13">
        <v>46173</v>
      </c>
      <c r="F24" s="14">
        <v>638</v>
      </c>
      <c r="G24" s="2" t="s">
        <v>185</v>
      </c>
      <c r="H24" s="14">
        <v>16.492999999999999</v>
      </c>
      <c r="I24" s="2" t="s">
        <v>191</v>
      </c>
      <c r="J24" s="15" t="s">
        <v>205</v>
      </c>
      <c r="K24" s="15" t="s">
        <v>205</v>
      </c>
      <c r="L24" s="2" t="s">
        <v>206</v>
      </c>
      <c r="M24" s="2" t="s">
        <v>207</v>
      </c>
      <c r="N24" s="2" t="s">
        <v>208</v>
      </c>
    </row>
    <row r="25" spans="1:14" ht="55" customHeight="1" x14ac:dyDescent="0.35">
      <c r="A25" s="2" t="s">
        <v>209</v>
      </c>
      <c r="B25" s="2" t="s">
        <v>22</v>
      </c>
      <c r="C25" s="2" t="s">
        <v>4</v>
      </c>
      <c r="D25" s="2" t="s">
        <v>133</v>
      </c>
      <c r="E25" s="13">
        <v>45838</v>
      </c>
      <c r="F25" s="14">
        <v>47.515999999999998</v>
      </c>
      <c r="G25" s="2" t="s">
        <v>210</v>
      </c>
      <c r="H25" s="14">
        <v>17.012</v>
      </c>
      <c r="I25" s="2" t="s">
        <v>211</v>
      </c>
      <c r="J25" s="15" t="s">
        <v>212</v>
      </c>
      <c r="K25" s="15" t="s">
        <v>212</v>
      </c>
      <c r="L25" s="2" t="s">
        <v>213</v>
      </c>
      <c r="M25" s="2" t="s">
        <v>214</v>
      </c>
      <c r="N25" s="2" t="s">
        <v>215</v>
      </c>
    </row>
    <row r="26" spans="1:14" ht="55" customHeight="1" x14ac:dyDescent="0.35">
      <c r="A26" s="2" t="s">
        <v>209</v>
      </c>
      <c r="B26" s="2" t="s">
        <v>22</v>
      </c>
      <c r="C26" s="2" t="s">
        <v>5</v>
      </c>
      <c r="D26" s="2" t="s">
        <v>140</v>
      </c>
      <c r="E26" s="13">
        <v>45930</v>
      </c>
      <c r="F26" s="14">
        <v>51.241999999999997</v>
      </c>
      <c r="G26" s="2" t="s">
        <v>210</v>
      </c>
      <c r="H26" s="14">
        <v>19.373999999999999</v>
      </c>
      <c r="I26" s="2" t="s">
        <v>211</v>
      </c>
      <c r="J26" s="15" t="s">
        <v>216</v>
      </c>
      <c r="K26" s="15" t="s">
        <v>216</v>
      </c>
      <c r="L26" s="2" t="s">
        <v>217</v>
      </c>
      <c r="M26" s="2" t="s">
        <v>218</v>
      </c>
      <c r="N26" s="2" t="s">
        <v>219</v>
      </c>
    </row>
    <row r="27" spans="1:14" ht="55" customHeight="1" x14ac:dyDescent="0.35">
      <c r="A27" s="2" t="s">
        <v>209</v>
      </c>
      <c r="B27" s="2" t="s">
        <v>22</v>
      </c>
      <c r="C27" s="2" t="s">
        <v>6</v>
      </c>
      <c r="D27" s="2" t="s">
        <v>145</v>
      </c>
      <c r="E27" s="13">
        <v>46022</v>
      </c>
      <c r="F27" s="14">
        <v>59.893000000000001</v>
      </c>
      <c r="G27" s="2" t="s">
        <v>210</v>
      </c>
      <c r="H27" s="14">
        <v>22.137</v>
      </c>
      <c r="I27" s="2" t="s">
        <v>220</v>
      </c>
      <c r="J27" s="15" t="s">
        <v>221</v>
      </c>
      <c r="K27" s="15" t="s">
        <v>221</v>
      </c>
      <c r="L27" s="2" t="s">
        <v>222</v>
      </c>
      <c r="M27" s="2" t="s">
        <v>223</v>
      </c>
      <c r="N27" s="2" t="s">
        <v>224</v>
      </c>
    </row>
    <row r="28" spans="1:14" ht="55" customHeight="1" x14ac:dyDescent="0.35">
      <c r="A28" s="2" t="s">
        <v>209</v>
      </c>
      <c r="B28" s="2" t="s">
        <v>22</v>
      </c>
      <c r="C28" s="2" t="s">
        <v>7</v>
      </c>
      <c r="D28" s="2" t="s">
        <v>150</v>
      </c>
      <c r="E28" s="13">
        <v>46112</v>
      </c>
      <c r="F28" s="14">
        <v>56.311</v>
      </c>
      <c r="G28" s="2" t="s">
        <v>210</v>
      </c>
      <c r="H28" s="14">
        <v>19.84</v>
      </c>
      <c r="I28" s="2" t="s">
        <v>211</v>
      </c>
      <c r="J28" s="15" t="s">
        <v>225</v>
      </c>
      <c r="K28" s="15" t="s">
        <v>225</v>
      </c>
      <c r="L28" s="2" t="s">
        <v>226</v>
      </c>
      <c r="M28" s="2" t="s">
        <v>227</v>
      </c>
      <c r="N28" s="2" t="s">
        <v>228</v>
      </c>
    </row>
    <row r="29" spans="1:14" ht="55" customHeight="1" x14ac:dyDescent="0.35">
      <c r="A29" s="2" t="s">
        <v>209</v>
      </c>
      <c r="B29" s="2" t="s">
        <v>22</v>
      </c>
      <c r="C29" s="2" t="s">
        <v>8</v>
      </c>
      <c r="D29" s="2" t="s">
        <v>155</v>
      </c>
      <c r="E29" s="13">
        <v>46203</v>
      </c>
      <c r="F29" s="14">
        <v>60.801000000000002</v>
      </c>
      <c r="G29" s="2" t="s">
        <v>210</v>
      </c>
      <c r="H29" s="14">
        <v>31.077999999999999</v>
      </c>
      <c r="I29" s="2" t="s">
        <v>229</v>
      </c>
      <c r="J29" s="15" t="s">
        <v>230</v>
      </c>
      <c r="K29" s="15" t="s">
        <v>230</v>
      </c>
      <c r="L29" s="2" t="s">
        <v>231</v>
      </c>
      <c r="M29" s="2" t="s">
        <v>232</v>
      </c>
      <c r="N29" s="2" t="s">
        <v>233</v>
      </c>
    </row>
  </sheetData>
  <autoFilter ref="A4:N29" xr:uid="{00000000-0009-0000-0000-000002000000}"/>
  <mergeCells count="3">
    <mergeCell ref="A2:AC2"/>
    <mergeCell ref="P1:AC1"/>
    <mergeCell ref="A1:N1"/>
  </mergeCells>
  <hyperlinks>
    <hyperlink ref="F5" r:id="rId1" display="https://www.sec.gov/Archives/edgar/data/789019/000095017025100235/msft-20250630.htm" xr:uid="{00000000-0004-0000-0200-000000000000}"/>
    <hyperlink ref="H5" r:id="rId2" display="https://www.microsoft.com/en-us/Investor/earnings/FY-2025-Q4/press-release-webcast" xr:uid="{00000000-0004-0000-0200-000001000000}"/>
    <hyperlink ref="J5" r:id="rId3" xr:uid="{00000000-0004-0000-0200-000002000000}"/>
    <hyperlink ref="K5" r:id="rId4" xr:uid="{00000000-0004-0000-0200-000003000000}"/>
    <hyperlink ref="X5" r:id="rId5" display="https://pages.stern.nyu.edu/~adamodar/New_Home_Page/datafile/wacc.html" xr:uid="{00000000-0004-0000-0200-000004000000}"/>
    <hyperlink ref="Z5" r:id="rId6" display="https://www.microsoft.com/en-us/investor/events/fy-2026/earnings-fy-2026-q4" xr:uid="{00000000-0004-0000-0200-000005000000}"/>
    <hyperlink ref="AB5" r:id="rId7" xr:uid="{00000000-0004-0000-0200-000006000000}"/>
    <hyperlink ref="F6" r:id="rId8" display="https://www.sec.gov/Archives/edgar/data/789019/000119312525256321/msft-20250930.htm" xr:uid="{00000000-0004-0000-0200-000007000000}"/>
    <hyperlink ref="H6" r:id="rId9" display="https://www.microsoft.com/en-us/Investor/earnings/FY-2026-Q1/press-release-webcast" xr:uid="{00000000-0004-0000-0200-000008000000}"/>
    <hyperlink ref="J6" r:id="rId10" xr:uid="{00000000-0004-0000-0200-000009000000}"/>
    <hyperlink ref="K6" r:id="rId11" xr:uid="{00000000-0004-0000-0200-00000A000000}"/>
    <hyperlink ref="X6" r:id="rId12" display="https://pages.stern.nyu.edu/~adamodar/New_Home_Page/datafile/wacc.html" xr:uid="{00000000-0004-0000-0200-00000B000000}"/>
    <hyperlink ref="Z6" r:id="rId13" display="https://abc.xyz/investor/events/event-details/2026/2026-Q2-Earnings-Call-2026-GgTAq7Is0z/default.aspx" xr:uid="{00000000-0004-0000-0200-00000C000000}"/>
    <hyperlink ref="AB6" r:id="rId14" xr:uid="{00000000-0004-0000-0200-00000D000000}"/>
    <hyperlink ref="F7" r:id="rId15" display="https://www.sec.gov/Archives/edgar/data/789019/000119312526027207/msft-20251231.htm" xr:uid="{00000000-0004-0000-0200-00000E000000}"/>
    <hyperlink ref="H7" r:id="rId16" display="https://www.microsoft.com/en-us/Investor/earnings/FY-2026-Q2/press-release-webcast" xr:uid="{00000000-0004-0000-0200-00000F000000}"/>
    <hyperlink ref="J7" r:id="rId17" xr:uid="{00000000-0004-0000-0200-000010000000}"/>
    <hyperlink ref="K7" r:id="rId18" xr:uid="{00000000-0004-0000-0200-000011000000}"/>
    <hyperlink ref="X7" r:id="rId19" display="https://pages.stern.nyu.edu/~adamodar/New_Home_Page/datafile/wacc.html" xr:uid="{00000000-0004-0000-0200-000012000000}"/>
    <hyperlink ref="Z7" r:id="rId20" display="https://www.sec.gov/Archives/edgar/data/1018724/000101872426000002/amzn-20251231xex991.htm" xr:uid="{00000000-0004-0000-0200-000013000000}"/>
    <hyperlink ref="AB7" r:id="rId21" xr:uid="{00000000-0004-0000-0200-000014000000}"/>
    <hyperlink ref="F8" r:id="rId22" display="https://www.sec.gov/Archives/edgar/data/789019/000119312526191507/msft-20260331.htm" xr:uid="{00000000-0004-0000-0200-000015000000}"/>
    <hyperlink ref="H8" r:id="rId23" display="https://www.microsoft.com/en-us/Investor/earnings/FY-2026-Q3/press-release-webcast" xr:uid="{00000000-0004-0000-0200-000016000000}"/>
    <hyperlink ref="J8" r:id="rId24" xr:uid="{00000000-0004-0000-0200-000017000000}"/>
    <hyperlink ref="K8" r:id="rId25" xr:uid="{00000000-0004-0000-0200-000018000000}"/>
    <hyperlink ref="X8" r:id="rId26" display="https://pages.stern.nyu.edu/~adamodar/New_Home_Page/datafile/wacc.html" xr:uid="{00000000-0004-0000-0200-000019000000}"/>
    <hyperlink ref="Z8" r:id="rId27" display="https://www.sec.gov/Archives/edgar/data/1341439/000119312526265848/orcl-ex99_1.htm" xr:uid="{00000000-0004-0000-0200-00001A000000}"/>
    <hyperlink ref="AB8" r:id="rId28" xr:uid="{00000000-0004-0000-0200-00001B000000}"/>
    <hyperlink ref="F9" r:id="rId29" display="https://www.sec.gov/Archives/edgar/data/789019/000119312526323660/msft-20260630.htm" xr:uid="{00000000-0004-0000-0200-00001C000000}"/>
    <hyperlink ref="H9" r:id="rId30" display="https://www.microsoft.com/en-us/investor/events/fy-2026/earnings-fy-2026-q4" xr:uid="{00000000-0004-0000-0200-00001D000000}"/>
    <hyperlink ref="J9" r:id="rId31" xr:uid="{00000000-0004-0000-0200-00001E000000}"/>
    <hyperlink ref="K9" r:id="rId32" xr:uid="{00000000-0004-0000-0200-00001F000000}"/>
    <hyperlink ref="X9" r:id="rId33" display="https://pages.stern.nyu.edu/~adamodar/New_Home_Page/datafile/wacc.html" xr:uid="{00000000-0004-0000-0200-000020000000}"/>
    <hyperlink ref="Z9" r:id="rId34" display="https://www.sec.gov/Archives/edgar/data/1326801/000162828026050596/meta-06302026xexhibit991.htm" xr:uid="{00000000-0004-0000-0200-000021000000}"/>
    <hyperlink ref="AB9" r:id="rId35" xr:uid="{00000000-0004-0000-0200-000022000000}"/>
    <hyperlink ref="F10" r:id="rId36" display="https://www.sec.gov/Archives/edgar/data/1652044/000165204425000062/goog-20250630.htm" xr:uid="{00000000-0004-0000-0200-000023000000}"/>
    <hyperlink ref="H10" r:id="rId37" display="https://www.sec.gov/Archives/edgar/data/1652044/000165204425000062/goog-20250630.htm" xr:uid="{00000000-0004-0000-0200-000024000000}"/>
    <hyperlink ref="J10" r:id="rId38" xr:uid="{00000000-0004-0000-0200-000025000000}"/>
    <hyperlink ref="K10" r:id="rId39" xr:uid="{00000000-0004-0000-0200-000026000000}"/>
    <hyperlink ref="F11" r:id="rId40" display="https://www.sec.gov/Archives/edgar/data/1652044/000165204425000091/goog-20250930.htm" xr:uid="{00000000-0004-0000-0200-000027000000}"/>
    <hyperlink ref="H11" r:id="rId41" display="https://www.sec.gov/Archives/edgar/data/1652044/000165204425000091/goog-20250930.htm" xr:uid="{00000000-0004-0000-0200-000028000000}"/>
    <hyperlink ref="J11" r:id="rId42" xr:uid="{00000000-0004-0000-0200-000029000000}"/>
    <hyperlink ref="K11" r:id="rId43" xr:uid="{00000000-0004-0000-0200-00002A000000}"/>
    <hyperlink ref="F12" r:id="rId44" display="https://www.sec.gov/Archives/edgar/data/1652044/000165204426000018/goog-20251231.htm" xr:uid="{00000000-0004-0000-0200-00002B000000}"/>
    <hyperlink ref="H12" r:id="rId45" display="https://www.sec.gov/Archives/edgar/data/1652044/000165204426000018/goog-20251231.htm" xr:uid="{00000000-0004-0000-0200-00002C000000}"/>
    <hyperlink ref="J12" r:id="rId46" xr:uid="{00000000-0004-0000-0200-00002D000000}"/>
    <hyperlink ref="K12" r:id="rId47" xr:uid="{00000000-0004-0000-0200-00002E000000}"/>
    <hyperlink ref="F13" r:id="rId48" display="https://www.sec.gov/Archives/edgar/data/1652044/000165204426000048/goog-20260331.htm" xr:uid="{00000000-0004-0000-0200-00002F000000}"/>
    <hyperlink ref="H13" r:id="rId49" display="https://www.sec.gov/Archives/edgar/data/1652044/000165204426000048/goog-20260331.htm" xr:uid="{00000000-0004-0000-0200-000030000000}"/>
    <hyperlink ref="J13" r:id="rId50" xr:uid="{00000000-0004-0000-0200-000031000000}"/>
    <hyperlink ref="K13" r:id="rId51" xr:uid="{00000000-0004-0000-0200-000032000000}"/>
    <hyperlink ref="F14" r:id="rId52" display="https://www.sec.gov/Archives/edgar/data/1652044/000165204426000071/goog-20260630.htm" xr:uid="{00000000-0004-0000-0200-000033000000}"/>
    <hyperlink ref="H14" r:id="rId53" display="https://www.sec.gov/Archives/edgar/data/1652044/000165204426000071/goog-20260630.htm" xr:uid="{00000000-0004-0000-0200-000034000000}"/>
    <hyperlink ref="J14" r:id="rId54" xr:uid="{00000000-0004-0000-0200-000035000000}"/>
    <hyperlink ref="K14" r:id="rId55" xr:uid="{00000000-0004-0000-0200-000036000000}"/>
    <hyperlink ref="F15" r:id="rId56" display="https://www.sec.gov/Archives/edgar/data/1018724/000101872425000086/amzn-20250630.htm" xr:uid="{00000000-0004-0000-0200-000037000000}"/>
    <hyperlink ref="H15" r:id="rId57" display="https://www.sec.gov/Archives/edgar/data/1018724/000101872425000086/amzn-20250630.htm" xr:uid="{00000000-0004-0000-0200-000038000000}"/>
    <hyperlink ref="J15" r:id="rId58" xr:uid="{00000000-0004-0000-0200-000039000000}"/>
    <hyperlink ref="K15" r:id="rId59" xr:uid="{00000000-0004-0000-0200-00003A000000}"/>
    <hyperlink ref="F16" r:id="rId60" display="https://www.sec.gov/Archives/edgar/data/1018724/000101872425000123/amzn-20250930.htm" xr:uid="{00000000-0004-0000-0200-00003B000000}"/>
    <hyperlink ref="H16" r:id="rId61" display="https://www.sec.gov/Archives/edgar/data/1018724/000101872425000123/amzn-20250930.htm" xr:uid="{00000000-0004-0000-0200-00003C000000}"/>
    <hyperlink ref="J16" r:id="rId62" xr:uid="{00000000-0004-0000-0200-00003D000000}"/>
    <hyperlink ref="K16" r:id="rId63" xr:uid="{00000000-0004-0000-0200-00003E000000}"/>
    <hyperlink ref="F17" r:id="rId64" display="https://www.sec.gov/Archives/edgar/data/1018724/000101872426000004/amzn-20251231.htm" xr:uid="{00000000-0004-0000-0200-00003F000000}"/>
    <hyperlink ref="H17" r:id="rId65" display="https://www.sec.gov/Archives/edgar/data/1018724/000101872426000004/amzn-20251231.htm" xr:uid="{00000000-0004-0000-0200-000040000000}"/>
    <hyperlink ref="J17" r:id="rId66" xr:uid="{00000000-0004-0000-0200-000041000000}"/>
    <hyperlink ref="K17" r:id="rId67" xr:uid="{00000000-0004-0000-0200-000042000000}"/>
    <hyperlink ref="F18" r:id="rId68" display="https://www.sec.gov/Archives/edgar/data/1018724/000101872426000014/amzn-20260331.htm" xr:uid="{00000000-0004-0000-0200-000043000000}"/>
    <hyperlink ref="H18" r:id="rId69" display="https://www.sec.gov/Archives/edgar/data/1018724/000101872426000014/amzn-20260331.htm" xr:uid="{00000000-0004-0000-0200-000044000000}"/>
    <hyperlink ref="J18" r:id="rId70" xr:uid="{00000000-0004-0000-0200-000045000000}"/>
    <hyperlink ref="K18" r:id="rId71" xr:uid="{00000000-0004-0000-0200-000046000000}"/>
    <hyperlink ref="F19" r:id="rId72" display="https://www.sec.gov/Archives/edgar/data/1018724/000101872426000026/amzn-20260630.htm" xr:uid="{00000000-0004-0000-0200-000047000000}"/>
    <hyperlink ref="H19" r:id="rId73" display="https://www.sec.gov/Archives/edgar/data/1018724/000101872426000026/amzn-20260630.htm" xr:uid="{00000000-0004-0000-0200-000048000000}"/>
    <hyperlink ref="J19" r:id="rId74" xr:uid="{00000000-0004-0000-0200-000049000000}"/>
    <hyperlink ref="K19" r:id="rId75" xr:uid="{00000000-0004-0000-0200-00004A000000}"/>
    <hyperlink ref="F20" r:id="rId76" display="https://www.sec.gov/Archives/edgar/data/1341439/000095017025087926/orcl-20250531.htm" xr:uid="{00000000-0004-0000-0200-00004B000000}"/>
    <hyperlink ref="H20" r:id="rId77" display="https://www.sec.gov/Archives/edgar/data/1341439/000095017025087926/orcl-20250531.htm" xr:uid="{00000000-0004-0000-0200-00004C000000}"/>
    <hyperlink ref="J20" r:id="rId78" xr:uid="{00000000-0004-0000-0200-00004D000000}"/>
    <hyperlink ref="K20" r:id="rId79" xr:uid="{00000000-0004-0000-0200-00004E000000}"/>
    <hyperlink ref="F21" r:id="rId80" display="https://www.sec.gov/Archives/edgar/data/1341439/000119312525200095/orcl-20250831.htm" xr:uid="{00000000-0004-0000-0200-00004F000000}"/>
    <hyperlink ref="H21" r:id="rId81" display="https://www.sec.gov/Archives/edgar/data/1341439/000119312525200095/orcl-20250831.htm" xr:uid="{00000000-0004-0000-0200-000050000000}"/>
    <hyperlink ref="J21" r:id="rId82" xr:uid="{00000000-0004-0000-0200-000051000000}"/>
    <hyperlink ref="K21" r:id="rId83" xr:uid="{00000000-0004-0000-0200-000052000000}"/>
    <hyperlink ref="F22" r:id="rId84" display="https://www.sec.gov/Archives/edgar/data/1341439/000119312525315925/orcl-20251130.htm" xr:uid="{00000000-0004-0000-0200-000053000000}"/>
    <hyperlink ref="H22" r:id="rId85" display="https://www.sec.gov/Archives/edgar/data/1341439/000119312525315925/orcl-20251130.htm" xr:uid="{00000000-0004-0000-0200-000054000000}"/>
    <hyperlink ref="J22" r:id="rId86" xr:uid="{00000000-0004-0000-0200-000055000000}"/>
    <hyperlink ref="K22" r:id="rId87" xr:uid="{00000000-0004-0000-0200-000056000000}"/>
    <hyperlink ref="F23" r:id="rId88" display="https://www.sec.gov/Archives/edgar/data/1341439/000119312526101045/orcl-20260228.htm" xr:uid="{00000000-0004-0000-0200-000057000000}"/>
    <hyperlink ref="H23" r:id="rId89" display="https://www.sec.gov/Archives/edgar/data/1341439/000119312526101045/orcl-20260228.htm" xr:uid="{00000000-0004-0000-0200-000058000000}"/>
    <hyperlink ref="J23" r:id="rId90" xr:uid="{00000000-0004-0000-0200-000059000000}"/>
    <hyperlink ref="K23" r:id="rId91" xr:uid="{00000000-0004-0000-0200-00005A000000}"/>
    <hyperlink ref="F24" r:id="rId92" display="https://www.sec.gov/Archives/edgar/data/1341439/000119312526277521/orcl-20260531.htm" xr:uid="{00000000-0004-0000-0200-00005B000000}"/>
    <hyperlink ref="H24" r:id="rId93" display="https://www.sec.gov/Archives/edgar/data/1341439/000119312526277521/orcl-20260531.htm" xr:uid="{00000000-0004-0000-0200-00005C000000}"/>
    <hyperlink ref="J24" r:id="rId94" xr:uid="{00000000-0004-0000-0200-00005D000000}"/>
    <hyperlink ref="K24" r:id="rId95" xr:uid="{00000000-0004-0000-0200-00005E000000}"/>
    <hyperlink ref="F25" r:id="rId96" display="https://www.sec.gov/Archives/edgar/data/1326801/000162828025036791/meta-20250630.htm" xr:uid="{00000000-0004-0000-0200-00005F000000}"/>
    <hyperlink ref="H25" r:id="rId97" display="https://www.sec.gov/Archives/edgar/data/1326801/000162828025036791/meta-20250630.htm" xr:uid="{00000000-0004-0000-0200-000060000000}"/>
    <hyperlink ref="J25" r:id="rId98" xr:uid="{00000000-0004-0000-0200-000061000000}"/>
    <hyperlink ref="K25" r:id="rId99" xr:uid="{00000000-0004-0000-0200-000062000000}"/>
    <hyperlink ref="F26" r:id="rId100" display="https://www.sec.gov/Archives/edgar/data/1326801/000162828025047240/meta-20250930.htm" xr:uid="{00000000-0004-0000-0200-000063000000}"/>
    <hyperlink ref="H26" r:id="rId101" display="https://www.sec.gov/Archives/edgar/data/1326801/000162828025047240/meta-20250930.htm" xr:uid="{00000000-0004-0000-0200-000064000000}"/>
    <hyperlink ref="J26" r:id="rId102" xr:uid="{00000000-0004-0000-0200-000065000000}"/>
    <hyperlink ref="K26" r:id="rId103" xr:uid="{00000000-0004-0000-0200-000066000000}"/>
    <hyperlink ref="F27" r:id="rId104" display="https://www.sec.gov/Archives/edgar/data/1326801/000162828026003942/meta-20251231.htm" xr:uid="{00000000-0004-0000-0200-000067000000}"/>
    <hyperlink ref="H27" r:id="rId105" display="https://www.sec.gov/Archives/edgar/data/1326801/000162828026003942/meta-20251231.htm" xr:uid="{00000000-0004-0000-0200-000068000000}"/>
    <hyperlink ref="J27" r:id="rId106" xr:uid="{00000000-0004-0000-0200-000069000000}"/>
    <hyperlink ref="K27" r:id="rId107" xr:uid="{00000000-0004-0000-0200-00006A000000}"/>
    <hyperlink ref="F28" r:id="rId108" display="https://www.sec.gov/Archives/edgar/data/1326801/000162828026028526/meta-20260331.htm" xr:uid="{00000000-0004-0000-0200-00006B000000}"/>
    <hyperlink ref="H28" r:id="rId109" display="https://www.sec.gov/Archives/edgar/data/1326801/000162828026028526/meta-20260331.htm" xr:uid="{00000000-0004-0000-0200-00006C000000}"/>
    <hyperlink ref="J28" r:id="rId110" xr:uid="{00000000-0004-0000-0200-00006D000000}"/>
    <hyperlink ref="K28" r:id="rId111" xr:uid="{00000000-0004-0000-0200-00006E000000}"/>
    <hyperlink ref="F29" r:id="rId112" display="https://www.sec.gov/Archives/edgar/data/1326801/000162828026050705/meta-20260630.htm" xr:uid="{00000000-0004-0000-0200-00006F000000}"/>
    <hyperlink ref="H29" r:id="rId113" display="https://www.sec.gov/Archives/edgar/data/1326801/000162828026050705/meta-20260630.htm" xr:uid="{00000000-0004-0000-0200-000070000000}"/>
    <hyperlink ref="J29" r:id="rId114" xr:uid="{00000000-0004-0000-0200-000071000000}"/>
    <hyperlink ref="K29" r:id="rId115" xr:uid="{00000000-0004-0000-0200-000072000000}"/>
  </hyperlinks>
  <pageMargins left="0.25" right="0.25" top="0.4" bottom="0.4" header="0.2" footer="0.2"/>
  <legacyDrawing r:id="rId11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7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0" customWidth="1"/>
    <col min="2" max="2" width="18" customWidth="1"/>
    <col min="3" max="3" width="22" customWidth="1"/>
    <col min="4" max="4" width="33" customWidth="1"/>
    <col min="5" max="5" width="14" customWidth="1"/>
    <col min="6" max="6" width="35" customWidth="1"/>
    <col min="7" max="7" width="30" customWidth="1"/>
    <col min="8" max="8" width="48" customWidth="1"/>
    <col min="9" max="9" width="85" customWidth="1"/>
    <col min="10" max="10" width="55" customWidth="1"/>
    <col min="11" max="11" width="24" customWidth="1"/>
    <col min="12" max="12" width="60" customWidth="1"/>
  </cols>
  <sheetData>
    <row r="1" spans="1:12" x14ac:dyDescent="0.35">
      <c r="A1" s="25" t="s">
        <v>234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x14ac:dyDescent="0.35">
      <c r="A2" s="23" t="s">
        <v>235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12" x14ac:dyDescent="0.35">
      <c r="A4" s="1" t="s">
        <v>236</v>
      </c>
      <c r="B4" s="1" t="s">
        <v>2</v>
      </c>
      <c r="C4" s="1" t="s">
        <v>237</v>
      </c>
      <c r="D4" s="1" t="s">
        <v>3</v>
      </c>
      <c r="E4" s="1" t="s">
        <v>238</v>
      </c>
      <c r="F4" s="1" t="s">
        <v>239</v>
      </c>
      <c r="G4" s="1" t="s">
        <v>240</v>
      </c>
      <c r="H4" s="1" t="s">
        <v>241</v>
      </c>
      <c r="I4" s="1" t="s">
        <v>66</v>
      </c>
      <c r="J4" s="1" t="s">
        <v>242</v>
      </c>
      <c r="K4" s="1" t="s">
        <v>243</v>
      </c>
      <c r="L4" s="1" t="s">
        <v>244</v>
      </c>
    </row>
    <row r="5" spans="1:12" ht="52" customHeight="1" x14ac:dyDescent="0.35">
      <c r="A5" s="2" t="s">
        <v>86</v>
      </c>
      <c r="B5" s="2" t="s">
        <v>79</v>
      </c>
      <c r="C5" s="2" t="s">
        <v>245</v>
      </c>
      <c r="D5" s="2" t="s">
        <v>81</v>
      </c>
      <c r="E5" s="18">
        <v>368</v>
      </c>
      <c r="F5" s="2" t="s">
        <v>246</v>
      </c>
      <c r="G5" s="2" t="s">
        <v>247</v>
      </c>
      <c r="H5" s="15" t="s">
        <v>83</v>
      </c>
      <c r="I5" s="2" t="s">
        <v>248</v>
      </c>
      <c r="J5" s="2"/>
      <c r="K5" s="2" t="s">
        <v>249</v>
      </c>
      <c r="L5" s="2" t="s">
        <v>250</v>
      </c>
    </row>
    <row r="6" spans="1:12" ht="52" customHeight="1" x14ac:dyDescent="0.35">
      <c r="A6" s="2" t="s">
        <v>87</v>
      </c>
      <c r="B6" s="2" t="s">
        <v>79</v>
      </c>
      <c r="C6" s="2" t="s">
        <v>245</v>
      </c>
      <c r="D6" s="2" t="s">
        <v>251</v>
      </c>
      <c r="E6" s="18">
        <v>24.2</v>
      </c>
      <c r="F6" s="2" t="s">
        <v>252</v>
      </c>
      <c r="G6" s="2" t="s">
        <v>253</v>
      </c>
      <c r="H6" s="15" t="s">
        <v>84</v>
      </c>
      <c r="I6" s="2" t="s">
        <v>254</v>
      </c>
      <c r="J6" s="2"/>
      <c r="K6" s="2" t="s">
        <v>249</v>
      </c>
      <c r="L6" s="2" t="s">
        <v>82</v>
      </c>
    </row>
    <row r="7" spans="1:12" ht="52" customHeight="1" x14ac:dyDescent="0.35">
      <c r="A7" s="2" t="s">
        <v>97</v>
      </c>
      <c r="B7" s="2" t="s">
        <v>79</v>
      </c>
      <c r="C7" s="2" t="s">
        <v>255</v>
      </c>
      <c r="D7" s="2" t="s">
        <v>81</v>
      </c>
      <c r="E7" s="18">
        <v>392</v>
      </c>
      <c r="F7" s="2" t="s">
        <v>246</v>
      </c>
      <c r="G7" s="2" t="s">
        <v>256</v>
      </c>
      <c r="H7" s="15" t="s">
        <v>94</v>
      </c>
      <c r="I7" s="2" t="s">
        <v>257</v>
      </c>
      <c r="J7" s="2" t="s">
        <v>258</v>
      </c>
      <c r="K7" s="2" t="s">
        <v>249</v>
      </c>
      <c r="L7" s="2" t="s">
        <v>250</v>
      </c>
    </row>
    <row r="8" spans="1:12" ht="52" customHeight="1" x14ac:dyDescent="0.35">
      <c r="A8" s="2" t="s">
        <v>98</v>
      </c>
      <c r="B8" s="2" t="s">
        <v>79</v>
      </c>
      <c r="C8" s="2" t="s">
        <v>255</v>
      </c>
      <c r="D8" s="2" t="s">
        <v>251</v>
      </c>
      <c r="E8" s="18">
        <v>34.9</v>
      </c>
      <c r="F8" s="2" t="s">
        <v>252</v>
      </c>
      <c r="G8" s="2" t="s">
        <v>253</v>
      </c>
      <c r="H8" s="15" t="s">
        <v>95</v>
      </c>
      <c r="I8" s="2" t="s">
        <v>259</v>
      </c>
      <c r="J8" s="2" t="s">
        <v>258</v>
      </c>
      <c r="K8" s="2" t="s">
        <v>249</v>
      </c>
      <c r="L8" s="2" t="s">
        <v>93</v>
      </c>
    </row>
    <row r="9" spans="1:12" ht="52" customHeight="1" x14ac:dyDescent="0.35">
      <c r="A9" s="2" t="s">
        <v>107</v>
      </c>
      <c r="B9" s="2" t="s">
        <v>79</v>
      </c>
      <c r="C9" s="2" t="s">
        <v>260</v>
      </c>
      <c r="D9" s="2" t="s">
        <v>81</v>
      </c>
      <c r="E9" s="18">
        <v>625</v>
      </c>
      <c r="F9" s="2" t="s">
        <v>246</v>
      </c>
      <c r="G9" s="2" t="s">
        <v>261</v>
      </c>
      <c r="H9" s="15" t="s">
        <v>104</v>
      </c>
      <c r="I9" s="2" t="s">
        <v>262</v>
      </c>
      <c r="J9" s="2" t="s">
        <v>263</v>
      </c>
      <c r="K9" s="2" t="s">
        <v>249</v>
      </c>
      <c r="L9" s="2" t="s">
        <v>250</v>
      </c>
    </row>
    <row r="10" spans="1:12" ht="52" customHeight="1" x14ac:dyDescent="0.35">
      <c r="A10" s="2" t="s">
        <v>108</v>
      </c>
      <c r="B10" s="2" t="s">
        <v>79</v>
      </c>
      <c r="C10" s="2" t="s">
        <v>260</v>
      </c>
      <c r="D10" s="2" t="s">
        <v>251</v>
      </c>
      <c r="E10" s="18">
        <v>37.5</v>
      </c>
      <c r="F10" s="2" t="s">
        <v>252</v>
      </c>
      <c r="G10" s="2" t="s">
        <v>253</v>
      </c>
      <c r="H10" s="15" t="s">
        <v>105</v>
      </c>
      <c r="I10" s="2" t="s">
        <v>264</v>
      </c>
      <c r="J10" s="2" t="s">
        <v>263</v>
      </c>
      <c r="K10" s="2" t="s">
        <v>249</v>
      </c>
      <c r="L10" s="2" t="s">
        <v>93</v>
      </c>
    </row>
    <row r="11" spans="1:12" ht="52" customHeight="1" x14ac:dyDescent="0.35">
      <c r="A11" s="2" t="s">
        <v>117</v>
      </c>
      <c r="B11" s="2" t="s">
        <v>79</v>
      </c>
      <c r="C11" s="2" t="s">
        <v>265</v>
      </c>
      <c r="D11" s="2" t="s">
        <v>81</v>
      </c>
      <c r="E11" s="18">
        <v>627</v>
      </c>
      <c r="F11" s="2" t="s">
        <v>246</v>
      </c>
      <c r="G11" s="2" t="s">
        <v>266</v>
      </c>
      <c r="H11" s="15" t="s">
        <v>114</v>
      </c>
      <c r="I11" s="2" t="s">
        <v>267</v>
      </c>
      <c r="J11" s="2" t="s">
        <v>268</v>
      </c>
      <c r="K11" s="2" t="s">
        <v>249</v>
      </c>
      <c r="L11" s="2" t="s">
        <v>250</v>
      </c>
    </row>
    <row r="12" spans="1:12" ht="52" customHeight="1" x14ac:dyDescent="0.35">
      <c r="A12" s="2" t="s">
        <v>118</v>
      </c>
      <c r="B12" s="2" t="s">
        <v>79</v>
      </c>
      <c r="C12" s="2" t="s">
        <v>265</v>
      </c>
      <c r="D12" s="2" t="s">
        <v>251</v>
      </c>
      <c r="E12" s="18">
        <v>31.9</v>
      </c>
      <c r="F12" s="2" t="s">
        <v>252</v>
      </c>
      <c r="G12" s="2" t="s">
        <v>253</v>
      </c>
      <c r="H12" s="15" t="s">
        <v>115</v>
      </c>
      <c r="I12" s="2" t="s">
        <v>269</v>
      </c>
      <c r="J12" s="2" t="s">
        <v>268</v>
      </c>
      <c r="K12" s="2" t="s">
        <v>249</v>
      </c>
      <c r="L12" s="2" t="s">
        <v>93</v>
      </c>
    </row>
    <row r="13" spans="1:12" ht="52" customHeight="1" x14ac:dyDescent="0.35">
      <c r="A13" s="2" t="s">
        <v>127</v>
      </c>
      <c r="B13" s="2" t="s">
        <v>79</v>
      </c>
      <c r="C13" s="2" t="s">
        <v>270</v>
      </c>
      <c r="D13" s="2" t="s">
        <v>81</v>
      </c>
      <c r="E13" s="18">
        <v>678</v>
      </c>
      <c r="F13" s="2" t="s">
        <v>246</v>
      </c>
      <c r="G13" s="2" t="s">
        <v>271</v>
      </c>
      <c r="H13" s="15" t="s">
        <v>125</v>
      </c>
      <c r="I13" s="2" t="s">
        <v>272</v>
      </c>
      <c r="J13" s="2" t="s">
        <v>273</v>
      </c>
      <c r="K13" s="2" t="s">
        <v>249</v>
      </c>
      <c r="L13" s="2" t="s">
        <v>250</v>
      </c>
    </row>
    <row r="14" spans="1:12" ht="52" customHeight="1" x14ac:dyDescent="0.35">
      <c r="A14" s="2" t="s">
        <v>128</v>
      </c>
      <c r="B14" s="2" t="s">
        <v>79</v>
      </c>
      <c r="C14" s="2" t="s">
        <v>270</v>
      </c>
      <c r="D14" s="2" t="s">
        <v>251</v>
      </c>
      <c r="E14" s="18">
        <v>41</v>
      </c>
      <c r="F14" s="2" t="s">
        <v>252</v>
      </c>
      <c r="G14" s="2" t="s">
        <v>253</v>
      </c>
      <c r="H14" s="15" t="s">
        <v>90</v>
      </c>
      <c r="I14" s="2" t="s">
        <v>274</v>
      </c>
      <c r="J14" s="2" t="s">
        <v>273</v>
      </c>
      <c r="K14" s="2" t="s">
        <v>249</v>
      </c>
      <c r="L14" s="2" t="s">
        <v>124</v>
      </c>
    </row>
    <row r="15" spans="1:12" ht="52" customHeight="1" x14ac:dyDescent="0.35">
      <c r="A15" s="2" t="s">
        <v>275</v>
      </c>
      <c r="B15" s="2" t="s">
        <v>79</v>
      </c>
      <c r="C15" s="2" t="s">
        <v>276</v>
      </c>
      <c r="D15" s="2" t="s">
        <v>277</v>
      </c>
      <c r="E15" s="3">
        <v>175</v>
      </c>
      <c r="F15" s="2" t="s">
        <v>278</v>
      </c>
      <c r="G15" s="2" t="s">
        <v>279</v>
      </c>
      <c r="H15" s="15" t="s">
        <v>90</v>
      </c>
      <c r="I15" s="2" t="s">
        <v>280</v>
      </c>
      <c r="J15" s="2"/>
      <c r="K15" s="2" t="s">
        <v>281</v>
      </c>
      <c r="L15" s="2" t="s">
        <v>89</v>
      </c>
    </row>
    <row r="16" spans="1:12" ht="52" customHeight="1" x14ac:dyDescent="0.35">
      <c r="A16" s="2" t="s">
        <v>282</v>
      </c>
      <c r="B16" s="2" t="s">
        <v>79</v>
      </c>
      <c r="C16" s="2" t="s">
        <v>276</v>
      </c>
      <c r="D16" s="2" t="s">
        <v>283</v>
      </c>
      <c r="E16" s="19">
        <v>9.3399999999999997E-2</v>
      </c>
      <c r="F16" s="2" t="s">
        <v>284</v>
      </c>
      <c r="G16" s="2" t="s">
        <v>285</v>
      </c>
      <c r="H16" s="15" t="s">
        <v>286</v>
      </c>
      <c r="I16" s="2" t="s">
        <v>287</v>
      </c>
      <c r="J16" s="2"/>
      <c r="K16" s="2" t="s">
        <v>281</v>
      </c>
      <c r="L16" s="2" t="s">
        <v>288</v>
      </c>
    </row>
    <row r="17" spans="1:12" ht="52" customHeight="1" x14ac:dyDescent="0.35">
      <c r="A17" s="2" t="s">
        <v>138</v>
      </c>
      <c r="B17" s="2" t="s">
        <v>132</v>
      </c>
      <c r="C17" s="2" t="s">
        <v>289</v>
      </c>
      <c r="D17" s="2" t="s">
        <v>134</v>
      </c>
      <c r="E17" s="18">
        <v>108.2</v>
      </c>
      <c r="F17" s="2" t="s">
        <v>246</v>
      </c>
      <c r="G17" s="2" t="s">
        <v>290</v>
      </c>
      <c r="H17" s="15" t="s">
        <v>136</v>
      </c>
      <c r="I17" s="2" t="s">
        <v>291</v>
      </c>
      <c r="J17" s="2"/>
      <c r="K17" s="2" t="s">
        <v>249</v>
      </c>
      <c r="L17" s="2" t="s">
        <v>250</v>
      </c>
    </row>
    <row r="18" spans="1:12" ht="52" customHeight="1" x14ac:dyDescent="0.35">
      <c r="A18" s="2" t="s">
        <v>139</v>
      </c>
      <c r="B18" s="2" t="s">
        <v>132</v>
      </c>
      <c r="C18" s="2" t="s">
        <v>289</v>
      </c>
      <c r="D18" s="2" t="s">
        <v>251</v>
      </c>
      <c r="E18" s="18">
        <v>22.446000000000002</v>
      </c>
      <c r="F18" s="2" t="s">
        <v>252</v>
      </c>
      <c r="G18" s="2" t="s">
        <v>290</v>
      </c>
      <c r="H18" s="15" t="s">
        <v>136</v>
      </c>
      <c r="I18" s="2" t="s">
        <v>292</v>
      </c>
      <c r="J18" s="2"/>
      <c r="K18" s="2" t="s">
        <v>249</v>
      </c>
      <c r="L18" s="2" t="s">
        <v>135</v>
      </c>
    </row>
    <row r="19" spans="1:12" ht="52" customHeight="1" x14ac:dyDescent="0.35">
      <c r="A19" s="2" t="s">
        <v>143</v>
      </c>
      <c r="B19" s="2" t="s">
        <v>132</v>
      </c>
      <c r="C19" s="2" t="s">
        <v>293</v>
      </c>
      <c r="D19" s="2" t="s">
        <v>134</v>
      </c>
      <c r="E19" s="18">
        <v>157.69999999999999</v>
      </c>
      <c r="F19" s="2" t="s">
        <v>246</v>
      </c>
      <c r="G19" s="2" t="s">
        <v>294</v>
      </c>
      <c r="H19" s="15" t="s">
        <v>141</v>
      </c>
      <c r="I19" s="2" t="s">
        <v>295</v>
      </c>
      <c r="J19" s="2" t="s">
        <v>296</v>
      </c>
      <c r="K19" s="2" t="s">
        <v>249</v>
      </c>
      <c r="L19" s="2" t="s">
        <v>250</v>
      </c>
    </row>
    <row r="20" spans="1:12" ht="52" customHeight="1" x14ac:dyDescent="0.35">
      <c r="A20" s="2" t="s">
        <v>144</v>
      </c>
      <c r="B20" s="2" t="s">
        <v>132</v>
      </c>
      <c r="C20" s="2" t="s">
        <v>293</v>
      </c>
      <c r="D20" s="2" t="s">
        <v>251</v>
      </c>
      <c r="E20" s="18">
        <v>23.952999999999999</v>
      </c>
      <c r="F20" s="2" t="s">
        <v>252</v>
      </c>
      <c r="G20" s="2" t="s">
        <v>294</v>
      </c>
      <c r="H20" s="15" t="s">
        <v>141</v>
      </c>
      <c r="I20" s="2" t="s">
        <v>297</v>
      </c>
      <c r="J20" s="2" t="s">
        <v>296</v>
      </c>
      <c r="K20" s="2" t="s">
        <v>249</v>
      </c>
      <c r="L20" s="2" t="s">
        <v>135</v>
      </c>
    </row>
    <row r="21" spans="1:12" ht="52" customHeight="1" x14ac:dyDescent="0.35">
      <c r="A21" s="2" t="s">
        <v>148</v>
      </c>
      <c r="B21" s="2" t="s">
        <v>132</v>
      </c>
      <c r="C21" s="2" t="s">
        <v>298</v>
      </c>
      <c r="D21" s="2" t="s">
        <v>134</v>
      </c>
      <c r="E21" s="18">
        <v>242.8</v>
      </c>
      <c r="F21" s="2" t="s">
        <v>246</v>
      </c>
      <c r="G21" s="2" t="s">
        <v>299</v>
      </c>
      <c r="H21" s="15" t="s">
        <v>146</v>
      </c>
      <c r="I21" s="2" t="s">
        <v>300</v>
      </c>
      <c r="J21" s="2" t="s">
        <v>301</v>
      </c>
      <c r="K21" s="2" t="s">
        <v>249</v>
      </c>
      <c r="L21" s="2" t="s">
        <v>250</v>
      </c>
    </row>
    <row r="22" spans="1:12" ht="52" customHeight="1" x14ac:dyDescent="0.35">
      <c r="A22" s="2" t="s">
        <v>149</v>
      </c>
      <c r="B22" s="2" t="s">
        <v>132</v>
      </c>
      <c r="C22" s="2" t="s">
        <v>298</v>
      </c>
      <c r="D22" s="2" t="s">
        <v>251</v>
      </c>
      <c r="E22" s="18">
        <v>27.850999999999999</v>
      </c>
      <c r="F22" s="2" t="s">
        <v>252</v>
      </c>
      <c r="G22" s="2" t="s">
        <v>299</v>
      </c>
      <c r="H22" s="15" t="s">
        <v>146</v>
      </c>
      <c r="I22" s="2" t="s">
        <v>302</v>
      </c>
      <c r="J22" s="2" t="s">
        <v>301</v>
      </c>
      <c r="K22" s="2" t="s">
        <v>249</v>
      </c>
      <c r="L22" s="2" t="s">
        <v>135</v>
      </c>
    </row>
    <row r="23" spans="1:12" ht="52" customHeight="1" x14ac:dyDescent="0.35">
      <c r="A23" s="2" t="s">
        <v>153</v>
      </c>
      <c r="B23" s="2" t="s">
        <v>132</v>
      </c>
      <c r="C23" s="2" t="s">
        <v>303</v>
      </c>
      <c r="D23" s="2" t="s">
        <v>134</v>
      </c>
      <c r="E23" s="18">
        <v>467.6</v>
      </c>
      <c r="F23" s="2" t="s">
        <v>246</v>
      </c>
      <c r="G23" s="2" t="s">
        <v>304</v>
      </c>
      <c r="H23" s="15" t="s">
        <v>151</v>
      </c>
      <c r="I23" s="2" t="s">
        <v>305</v>
      </c>
      <c r="J23" s="2" t="s">
        <v>306</v>
      </c>
      <c r="K23" s="2" t="s">
        <v>249</v>
      </c>
      <c r="L23" s="2" t="s">
        <v>250</v>
      </c>
    </row>
    <row r="24" spans="1:12" ht="52" customHeight="1" x14ac:dyDescent="0.35">
      <c r="A24" s="2" t="s">
        <v>154</v>
      </c>
      <c r="B24" s="2" t="s">
        <v>132</v>
      </c>
      <c r="C24" s="2" t="s">
        <v>303</v>
      </c>
      <c r="D24" s="2" t="s">
        <v>251</v>
      </c>
      <c r="E24" s="18">
        <v>35.673999999999999</v>
      </c>
      <c r="F24" s="2" t="s">
        <v>252</v>
      </c>
      <c r="G24" s="2" t="s">
        <v>304</v>
      </c>
      <c r="H24" s="15" t="s">
        <v>151</v>
      </c>
      <c r="I24" s="2" t="s">
        <v>307</v>
      </c>
      <c r="J24" s="2" t="s">
        <v>306</v>
      </c>
      <c r="K24" s="2" t="s">
        <v>249</v>
      </c>
      <c r="L24" s="2" t="s">
        <v>135</v>
      </c>
    </row>
    <row r="25" spans="1:12" ht="52" customHeight="1" x14ac:dyDescent="0.35">
      <c r="A25" s="2" t="s">
        <v>158</v>
      </c>
      <c r="B25" s="2" t="s">
        <v>132</v>
      </c>
      <c r="C25" s="2" t="s">
        <v>308</v>
      </c>
      <c r="D25" s="2" t="s">
        <v>134</v>
      </c>
      <c r="E25" s="18">
        <v>519.5</v>
      </c>
      <c r="F25" s="2" t="s">
        <v>246</v>
      </c>
      <c r="G25" s="2" t="s">
        <v>309</v>
      </c>
      <c r="H25" s="15" t="s">
        <v>156</v>
      </c>
      <c r="I25" s="2" t="s">
        <v>310</v>
      </c>
      <c r="J25" s="2" t="s">
        <v>311</v>
      </c>
      <c r="K25" s="2" t="s">
        <v>249</v>
      </c>
      <c r="L25" s="2" t="s">
        <v>250</v>
      </c>
    </row>
    <row r="26" spans="1:12" ht="52" customHeight="1" x14ac:dyDescent="0.35">
      <c r="A26" s="2" t="s">
        <v>159</v>
      </c>
      <c r="B26" s="2" t="s">
        <v>132</v>
      </c>
      <c r="C26" s="2" t="s">
        <v>308</v>
      </c>
      <c r="D26" s="2" t="s">
        <v>251</v>
      </c>
      <c r="E26" s="18">
        <v>44.923999999999999</v>
      </c>
      <c r="F26" s="2" t="s">
        <v>252</v>
      </c>
      <c r="G26" s="2" t="s">
        <v>309</v>
      </c>
      <c r="H26" s="15" t="s">
        <v>156</v>
      </c>
      <c r="I26" s="2" t="s">
        <v>312</v>
      </c>
      <c r="J26" s="2" t="s">
        <v>311</v>
      </c>
      <c r="K26" s="2" t="s">
        <v>249</v>
      </c>
      <c r="L26" s="2" t="s">
        <v>135</v>
      </c>
    </row>
    <row r="27" spans="1:12" ht="52" customHeight="1" x14ac:dyDescent="0.35">
      <c r="A27" s="2" t="s">
        <v>313</v>
      </c>
      <c r="B27" s="2" t="s">
        <v>132</v>
      </c>
      <c r="C27" s="2" t="s">
        <v>276</v>
      </c>
      <c r="D27" s="2" t="s">
        <v>277</v>
      </c>
      <c r="E27" s="3">
        <v>200</v>
      </c>
      <c r="F27" s="2" t="s">
        <v>278</v>
      </c>
      <c r="G27" s="2" t="s">
        <v>279</v>
      </c>
      <c r="H27" s="15" t="s">
        <v>101</v>
      </c>
      <c r="I27" s="2" t="s">
        <v>314</v>
      </c>
      <c r="J27" s="2"/>
      <c r="K27" s="2" t="s">
        <v>281</v>
      </c>
      <c r="L27" s="2" t="s">
        <v>100</v>
      </c>
    </row>
    <row r="28" spans="1:12" ht="52" customHeight="1" x14ac:dyDescent="0.35">
      <c r="A28" s="2" t="s">
        <v>315</v>
      </c>
      <c r="B28" s="2" t="s">
        <v>132</v>
      </c>
      <c r="C28" s="2" t="s">
        <v>276</v>
      </c>
      <c r="D28" s="2" t="s">
        <v>283</v>
      </c>
      <c r="E28" s="19">
        <v>0.1066</v>
      </c>
      <c r="F28" s="2" t="s">
        <v>284</v>
      </c>
      <c r="G28" s="2" t="s">
        <v>285</v>
      </c>
      <c r="H28" s="15" t="s">
        <v>286</v>
      </c>
      <c r="I28" s="2" t="s">
        <v>316</v>
      </c>
      <c r="J28" s="2"/>
      <c r="K28" s="2" t="s">
        <v>281</v>
      </c>
      <c r="L28" s="2" t="s">
        <v>288</v>
      </c>
    </row>
    <row r="29" spans="1:12" ht="52" customHeight="1" x14ac:dyDescent="0.35">
      <c r="A29" s="2" t="s">
        <v>165</v>
      </c>
      <c r="B29" s="2" t="s">
        <v>160</v>
      </c>
      <c r="C29" s="2" t="s">
        <v>289</v>
      </c>
      <c r="D29" s="2" t="s">
        <v>161</v>
      </c>
      <c r="E29" s="18">
        <v>195</v>
      </c>
      <c r="F29" s="2" t="s">
        <v>246</v>
      </c>
      <c r="G29" s="2" t="s">
        <v>317</v>
      </c>
      <c r="H29" s="15" t="s">
        <v>163</v>
      </c>
      <c r="I29" s="2" t="s">
        <v>318</v>
      </c>
      <c r="J29" s="2"/>
      <c r="K29" s="2" t="s">
        <v>249</v>
      </c>
      <c r="L29" s="2" t="s">
        <v>250</v>
      </c>
    </row>
    <row r="30" spans="1:12" ht="52" customHeight="1" x14ac:dyDescent="0.35">
      <c r="A30" s="2" t="s">
        <v>166</v>
      </c>
      <c r="B30" s="2" t="s">
        <v>160</v>
      </c>
      <c r="C30" s="2" t="s">
        <v>289</v>
      </c>
      <c r="D30" s="2" t="s">
        <v>251</v>
      </c>
      <c r="E30" s="18">
        <v>32.183</v>
      </c>
      <c r="F30" s="2" t="s">
        <v>252</v>
      </c>
      <c r="G30" s="2" t="s">
        <v>317</v>
      </c>
      <c r="H30" s="15" t="s">
        <v>163</v>
      </c>
      <c r="I30" s="2" t="s">
        <v>319</v>
      </c>
      <c r="J30" s="2"/>
      <c r="K30" s="2" t="s">
        <v>249</v>
      </c>
      <c r="L30" s="2" t="s">
        <v>162</v>
      </c>
    </row>
    <row r="31" spans="1:12" ht="52" customHeight="1" x14ac:dyDescent="0.35">
      <c r="A31" s="2" t="s">
        <v>169</v>
      </c>
      <c r="B31" s="2" t="s">
        <v>160</v>
      </c>
      <c r="C31" s="2" t="s">
        <v>293</v>
      </c>
      <c r="D31" s="2" t="s">
        <v>161</v>
      </c>
      <c r="E31" s="18">
        <v>200</v>
      </c>
      <c r="F31" s="2" t="s">
        <v>246</v>
      </c>
      <c r="G31" s="2" t="s">
        <v>320</v>
      </c>
      <c r="H31" s="15" t="s">
        <v>167</v>
      </c>
      <c r="I31" s="2" t="s">
        <v>321</v>
      </c>
      <c r="J31" s="2" t="s">
        <v>322</v>
      </c>
      <c r="K31" s="2" t="s">
        <v>249</v>
      </c>
      <c r="L31" s="2" t="s">
        <v>250</v>
      </c>
    </row>
    <row r="32" spans="1:12" ht="52" customHeight="1" x14ac:dyDescent="0.35">
      <c r="A32" s="2" t="s">
        <v>170</v>
      </c>
      <c r="B32" s="2" t="s">
        <v>160</v>
      </c>
      <c r="C32" s="2" t="s">
        <v>293</v>
      </c>
      <c r="D32" s="2" t="s">
        <v>251</v>
      </c>
      <c r="E32" s="18">
        <v>35.094999999999999</v>
      </c>
      <c r="F32" s="2" t="s">
        <v>252</v>
      </c>
      <c r="G32" s="2" t="s">
        <v>320</v>
      </c>
      <c r="H32" s="15" t="s">
        <v>167</v>
      </c>
      <c r="I32" s="2" t="s">
        <v>323</v>
      </c>
      <c r="J32" s="2" t="s">
        <v>322</v>
      </c>
      <c r="K32" s="2" t="s">
        <v>249</v>
      </c>
      <c r="L32" s="2" t="s">
        <v>162</v>
      </c>
    </row>
    <row r="33" spans="1:12" ht="52" customHeight="1" x14ac:dyDescent="0.35">
      <c r="A33" s="2" t="s">
        <v>173</v>
      </c>
      <c r="B33" s="2" t="s">
        <v>160</v>
      </c>
      <c r="C33" s="2" t="s">
        <v>298</v>
      </c>
      <c r="D33" s="2" t="s">
        <v>161</v>
      </c>
      <c r="E33" s="18">
        <v>244</v>
      </c>
      <c r="F33" s="2" t="s">
        <v>246</v>
      </c>
      <c r="G33" s="2" t="s">
        <v>324</v>
      </c>
      <c r="H33" s="15" t="s">
        <v>171</v>
      </c>
      <c r="I33" s="2" t="s">
        <v>325</v>
      </c>
      <c r="J33" s="2" t="s">
        <v>326</v>
      </c>
      <c r="K33" s="2" t="s">
        <v>249</v>
      </c>
      <c r="L33" s="2" t="s">
        <v>250</v>
      </c>
    </row>
    <row r="34" spans="1:12" ht="52" customHeight="1" x14ac:dyDescent="0.35">
      <c r="A34" s="2" t="s">
        <v>174</v>
      </c>
      <c r="B34" s="2" t="s">
        <v>160</v>
      </c>
      <c r="C34" s="2" t="s">
        <v>298</v>
      </c>
      <c r="D34" s="2" t="s">
        <v>251</v>
      </c>
      <c r="E34" s="18">
        <v>39.521999999999998</v>
      </c>
      <c r="F34" s="2" t="s">
        <v>252</v>
      </c>
      <c r="G34" s="2" t="s">
        <v>324</v>
      </c>
      <c r="H34" s="15" t="s">
        <v>171</v>
      </c>
      <c r="I34" s="2" t="s">
        <v>327</v>
      </c>
      <c r="J34" s="2" t="s">
        <v>326</v>
      </c>
      <c r="K34" s="2" t="s">
        <v>249</v>
      </c>
      <c r="L34" s="2" t="s">
        <v>162</v>
      </c>
    </row>
    <row r="35" spans="1:12" ht="52" customHeight="1" x14ac:dyDescent="0.35">
      <c r="A35" s="2" t="s">
        <v>177</v>
      </c>
      <c r="B35" s="2" t="s">
        <v>160</v>
      </c>
      <c r="C35" s="2" t="s">
        <v>303</v>
      </c>
      <c r="D35" s="2" t="s">
        <v>161</v>
      </c>
      <c r="E35" s="18">
        <v>364</v>
      </c>
      <c r="F35" s="2" t="s">
        <v>246</v>
      </c>
      <c r="G35" s="2" t="s">
        <v>328</v>
      </c>
      <c r="H35" s="15" t="s">
        <v>175</v>
      </c>
      <c r="I35" s="2" t="s">
        <v>329</v>
      </c>
      <c r="J35" s="2" t="s">
        <v>330</v>
      </c>
      <c r="K35" s="2" t="s">
        <v>249</v>
      </c>
      <c r="L35" s="2" t="s">
        <v>250</v>
      </c>
    </row>
    <row r="36" spans="1:12" ht="52" customHeight="1" x14ac:dyDescent="0.35">
      <c r="A36" s="2" t="s">
        <v>178</v>
      </c>
      <c r="B36" s="2" t="s">
        <v>160</v>
      </c>
      <c r="C36" s="2" t="s">
        <v>303</v>
      </c>
      <c r="D36" s="2" t="s">
        <v>251</v>
      </c>
      <c r="E36" s="18">
        <v>44.203000000000003</v>
      </c>
      <c r="F36" s="2" t="s">
        <v>252</v>
      </c>
      <c r="G36" s="2" t="s">
        <v>328</v>
      </c>
      <c r="H36" s="15" t="s">
        <v>175</v>
      </c>
      <c r="I36" s="2" t="s">
        <v>331</v>
      </c>
      <c r="J36" s="2" t="s">
        <v>330</v>
      </c>
      <c r="K36" s="2" t="s">
        <v>249</v>
      </c>
      <c r="L36" s="2" t="s">
        <v>162</v>
      </c>
    </row>
    <row r="37" spans="1:12" ht="52" customHeight="1" x14ac:dyDescent="0.35">
      <c r="A37" s="2" t="s">
        <v>182</v>
      </c>
      <c r="B37" s="2" t="s">
        <v>160</v>
      </c>
      <c r="C37" s="2" t="s">
        <v>308</v>
      </c>
      <c r="D37" s="2" t="s">
        <v>161</v>
      </c>
      <c r="E37" s="18">
        <v>496</v>
      </c>
      <c r="F37" s="2" t="s">
        <v>246</v>
      </c>
      <c r="G37" s="2" t="s">
        <v>332</v>
      </c>
      <c r="H37" s="15" t="s">
        <v>180</v>
      </c>
      <c r="I37" s="2" t="s">
        <v>333</v>
      </c>
      <c r="J37" s="2" t="s">
        <v>334</v>
      </c>
      <c r="K37" s="2" t="s">
        <v>249</v>
      </c>
      <c r="L37" s="2" t="s">
        <v>250</v>
      </c>
    </row>
    <row r="38" spans="1:12" ht="52" customHeight="1" x14ac:dyDescent="0.35">
      <c r="A38" s="2" t="s">
        <v>183</v>
      </c>
      <c r="B38" s="2" t="s">
        <v>160</v>
      </c>
      <c r="C38" s="2" t="s">
        <v>308</v>
      </c>
      <c r="D38" s="2" t="s">
        <v>251</v>
      </c>
      <c r="E38" s="18">
        <v>54.207999999999998</v>
      </c>
      <c r="F38" s="2" t="s">
        <v>252</v>
      </c>
      <c r="G38" s="2" t="s">
        <v>332</v>
      </c>
      <c r="H38" s="15" t="s">
        <v>180</v>
      </c>
      <c r="I38" s="2" t="s">
        <v>335</v>
      </c>
      <c r="J38" s="2" t="s">
        <v>334</v>
      </c>
      <c r="K38" s="2" t="s">
        <v>249</v>
      </c>
      <c r="L38" s="2" t="s">
        <v>179</v>
      </c>
    </row>
    <row r="39" spans="1:12" ht="52" customHeight="1" x14ac:dyDescent="0.35">
      <c r="A39" s="2" t="s">
        <v>336</v>
      </c>
      <c r="B39" s="2" t="s">
        <v>160</v>
      </c>
      <c r="C39" s="2" t="s">
        <v>276</v>
      </c>
      <c r="D39" s="2" t="s">
        <v>277</v>
      </c>
      <c r="E39" s="3">
        <v>200</v>
      </c>
      <c r="F39" s="2" t="s">
        <v>278</v>
      </c>
      <c r="G39" s="2" t="s">
        <v>279</v>
      </c>
      <c r="H39" s="15" t="s">
        <v>111</v>
      </c>
      <c r="I39" s="2" t="s">
        <v>337</v>
      </c>
      <c r="J39" s="2"/>
      <c r="K39" s="2" t="s">
        <v>281</v>
      </c>
      <c r="L39" s="2" t="s">
        <v>110</v>
      </c>
    </row>
    <row r="40" spans="1:12" ht="52" customHeight="1" x14ac:dyDescent="0.35">
      <c r="A40" s="2" t="s">
        <v>338</v>
      </c>
      <c r="B40" s="2" t="s">
        <v>160</v>
      </c>
      <c r="C40" s="2" t="s">
        <v>276</v>
      </c>
      <c r="D40" s="2" t="s">
        <v>283</v>
      </c>
      <c r="E40" s="19">
        <v>7.2700000000000001E-2</v>
      </c>
      <c r="F40" s="2" t="s">
        <v>284</v>
      </c>
      <c r="G40" s="2" t="s">
        <v>285</v>
      </c>
      <c r="H40" s="15" t="s">
        <v>286</v>
      </c>
      <c r="I40" s="2" t="s">
        <v>339</v>
      </c>
      <c r="J40" s="2"/>
      <c r="K40" s="2" t="s">
        <v>281</v>
      </c>
      <c r="L40" s="2" t="s">
        <v>288</v>
      </c>
    </row>
    <row r="41" spans="1:12" ht="52" customHeight="1" x14ac:dyDescent="0.35">
      <c r="A41" s="2" t="s">
        <v>189</v>
      </c>
      <c r="B41" s="2" t="s">
        <v>184</v>
      </c>
      <c r="C41" s="2" t="s">
        <v>340</v>
      </c>
      <c r="D41" s="2" t="s">
        <v>185</v>
      </c>
      <c r="E41" s="18">
        <v>137.80000000000001</v>
      </c>
      <c r="F41" s="2" t="s">
        <v>246</v>
      </c>
      <c r="G41" s="2" t="s">
        <v>341</v>
      </c>
      <c r="H41" s="15" t="s">
        <v>187</v>
      </c>
      <c r="I41" s="2" t="s">
        <v>342</v>
      </c>
      <c r="J41" s="2"/>
      <c r="K41" s="2" t="s">
        <v>249</v>
      </c>
      <c r="L41" s="2" t="s">
        <v>250</v>
      </c>
    </row>
    <row r="42" spans="1:12" ht="52" customHeight="1" x14ac:dyDescent="0.35">
      <c r="A42" s="2" t="s">
        <v>190</v>
      </c>
      <c r="B42" s="2" t="s">
        <v>184</v>
      </c>
      <c r="C42" s="2" t="s">
        <v>340</v>
      </c>
      <c r="D42" s="2" t="s">
        <v>251</v>
      </c>
      <c r="E42" s="18">
        <v>9.08</v>
      </c>
      <c r="F42" s="2" t="s">
        <v>252</v>
      </c>
      <c r="G42" s="2" t="s">
        <v>341</v>
      </c>
      <c r="H42" s="15" t="s">
        <v>187</v>
      </c>
      <c r="I42" s="2" t="s">
        <v>343</v>
      </c>
      <c r="J42" s="2"/>
      <c r="K42" s="2" t="s">
        <v>249</v>
      </c>
      <c r="L42" s="2" t="s">
        <v>186</v>
      </c>
    </row>
    <row r="43" spans="1:12" ht="52" customHeight="1" x14ac:dyDescent="0.35">
      <c r="A43" s="2" t="s">
        <v>194</v>
      </c>
      <c r="B43" s="2" t="s">
        <v>184</v>
      </c>
      <c r="C43" s="2" t="s">
        <v>344</v>
      </c>
      <c r="D43" s="2" t="s">
        <v>185</v>
      </c>
      <c r="E43" s="18">
        <v>455.3</v>
      </c>
      <c r="F43" s="2" t="s">
        <v>246</v>
      </c>
      <c r="G43" s="2" t="s">
        <v>345</v>
      </c>
      <c r="H43" s="15" t="s">
        <v>192</v>
      </c>
      <c r="I43" s="2" t="s">
        <v>346</v>
      </c>
      <c r="J43" s="2" t="s">
        <v>347</v>
      </c>
      <c r="K43" s="2" t="s">
        <v>249</v>
      </c>
      <c r="L43" s="2" t="s">
        <v>250</v>
      </c>
    </row>
    <row r="44" spans="1:12" ht="52" customHeight="1" x14ac:dyDescent="0.35">
      <c r="A44" s="2" t="s">
        <v>195</v>
      </c>
      <c r="B44" s="2" t="s">
        <v>184</v>
      </c>
      <c r="C44" s="2" t="s">
        <v>344</v>
      </c>
      <c r="D44" s="2" t="s">
        <v>251</v>
      </c>
      <c r="E44" s="18">
        <v>8.5020000000000007</v>
      </c>
      <c r="F44" s="2" t="s">
        <v>252</v>
      </c>
      <c r="G44" s="2" t="s">
        <v>345</v>
      </c>
      <c r="H44" s="15" t="s">
        <v>192</v>
      </c>
      <c r="I44" s="2" t="s">
        <v>348</v>
      </c>
      <c r="J44" s="2" t="s">
        <v>347</v>
      </c>
      <c r="K44" s="2" t="s">
        <v>249</v>
      </c>
      <c r="L44" s="2" t="s">
        <v>191</v>
      </c>
    </row>
    <row r="45" spans="1:12" ht="52" customHeight="1" x14ac:dyDescent="0.35">
      <c r="A45" s="2" t="s">
        <v>199</v>
      </c>
      <c r="B45" s="2" t="s">
        <v>184</v>
      </c>
      <c r="C45" s="2" t="s">
        <v>349</v>
      </c>
      <c r="D45" s="2" t="s">
        <v>185</v>
      </c>
      <c r="E45" s="18">
        <v>523.29999999999995</v>
      </c>
      <c r="F45" s="2" t="s">
        <v>246</v>
      </c>
      <c r="G45" s="2" t="s">
        <v>350</v>
      </c>
      <c r="H45" s="15" t="s">
        <v>197</v>
      </c>
      <c r="I45" s="2" t="s">
        <v>351</v>
      </c>
      <c r="J45" s="2" t="s">
        <v>352</v>
      </c>
      <c r="K45" s="2" t="s">
        <v>249</v>
      </c>
      <c r="L45" s="2" t="s">
        <v>250</v>
      </c>
    </row>
    <row r="46" spans="1:12" ht="52" customHeight="1" x14ac:dyDescent="0.35">
      <c r="A46" s="2" t="s">
        <v>200</v>
      </c>
      <c r="B46" s="2" t="s">
        <v>184</v>
      </c>
      <c r="C46" s="2" t="s">
        <v>349</v>
      </c>
      <c r="D46" s="2" t="s">
        <v>251</v>
      </c>
      <c r="E46" s="18">
        <v>12.032999999999999</v>
      </c>
      <c r="F46" s="2" t="s">
        <v>252</v>
      </c>
      <c r="G46" s="2" t="s">
        <v>350</v>
      </c>
      <c r="H46" s="15" t="s">
        <v>197</v>
      </c>
      <c r="I46" s="2" t="s">
        <v>353</v>
      </c>
      <c r="J46" s="2" t="s">
        <v>352</v>
      </c>
      <c r="K46" s="2" t="s">
        <v>249</v>
      </c>
      <c r="L46" s="2" t="s">
        <v>196</v>
      </c>
    </row>
    <row r="47" spans="1:12" ht="52" customHeight="1" x14ac:dyDescent="0.35">
      <c r="A47" s="2" t="s">
        <v>203</v>
      </c>
      <c r="B47" s="2" t="s">
        <v>184</v>
      </c>
      <c r="C47" s="2" t="s">
        <v>354</v>
      </c>
      <c r="D47" s="2" t="s">
        <v>185</v>
      </c>
      <c r="E47" s="18">
        <v>552.6</v>
      </c>
      <c r="F47" s="2" t="s">
        <v>246</v>
      </c>
      <c r="G47" s="2" t="s">
        <v>355</v>
      </c>
      <c r="H47" s="15" t="s">
        <v>201</v>
      </c>
      <c r="I47" s="2" t="s">
        <v>356</v>
      </c>
      <c r="J47" s="2" t="s">
        <v>357</v>
      </c>
      <c r="K47" s="2" t="s">
        <v>249</v>
      </c>
      <c r="L47" s="2" t="s">
        <v>250</v>
      </c>
    </row>
    <row r="48" spans="1:12" ht="52" customHeight="1" x14ac:dyDescent="0.35">
      <c r="A48" s="2" t="s">
        <v>204</v>
      </c>
      <c r="B48" s="2" t="s">
        <v>184</v>
      </c>
      <c r="C48" s="2" t="s">
        <v>354</v>
      </c>
      <c r="D48" s="2" t="s">
        <v>251</v>
      </c>
      <c r="E48" s="18">
        <v>18.635000000000002</v>
      </c>
      <c r="F48" s="2" t="s">
        <v>252</v>
      </c>
      <c r="G48" s="2" t="s">
        <v>355</v>
      </c>
      <c r="H48" s="15" t="s">
        <v>201</v>
      </c>
      <c r="I48" s="2" t="s">
        <v>358</v>
      </c>
      <c r="J48" s="2" t="s">
        <v>357</v>
      </c>
      <c r="K48" s="2" t="s">
        <v>249</v>
      </c>
      <c r="L48" s="2" t="s">
        <v>196</v>
      </c>
    </row>
    <row r="49" spans="1:12" ht="52" customHeight="1" x14ac:dyDescent="0.35">
      <c r="A49" s="2" t="s">
        <v>207</v>
      </c>
      <c r="B49" s="2" t="s">
        <v>184</v>
      </c>
      <c r="C49" s="2" t="s">
        <v>359</v>
      </c>
      <c r="D49" s="2" t="s">
        <v>185</v>
      </c>
      <c r="E49" s="18">
        <v>638</v>
      </c>
      <c r="F49" s="2" t="s">
        <v>246</v>
      </c>
      <c r="G49" s="2" t="s">
        <v>360</v>
      </c>
      <c r="H49" s="15" t="s">
        <v>205</v>
      </c>
      <c r="I49" s="2" t="s">
        <v>361</v>
      </c>
      <c r="J49" s="2" t="s">
        <v>362</v>
      </c>
      <c r="K49" s="2" t="s">
        <v>249</v>
      </c>
      <c r="L49" s="2" t="s">
        <v>250</v>
      </c>
    </row>
    <row r="50" spans="1:12" ht="52" customHeight="1" x14ac:dyDescent="0.35">
      <c r="A50" s="2" t="s">
        <v>208</v>
      </c>
      <c r="B50" s="2" t="s">
        <v>184</v>
      </c>
      <c r="C50" s="2" t="s">
        <v>359</v>
      </c>
      <c r="D50" s="2" t="s">
        <v>251</v>
      </c>
      <c r="E50" s="18">
        <v>16.492999999999999</v>
      </c>
      <c r="F50" s="2" t="s">
        <v>252</v>
      </c>
      <c r="G50" s="2" t="s">
        <v>360</v>
      </c>
      <c r="H50" s="15" t="s">
        <v>205</v>
      </c>
      <c r="I50" s="2" t="s">
        <v>363</v>
      </c>
      <c r="J50" s="2" t="s">
        <v>362</v>
      </c>
      <c r="K50" s="2" t="s">
        <v>249</v>
      </c>
      <c r="L50" s="2" t="s">
        <v>191</v>
      </c>
    </row>
    <row r="51" spans="1:12" ht="52" customHeight="1" x14ac:dyDescent="0.35">
      <c r="A51" s="2" t="s">
        <v>364</v>
      </c>
      <c r="B51" s="2" t="s">
        <v>184</v>
      </c>
      <c r="C51" s="2" t="s">
        <v>276</v>
      </c>
      <c r="D51" s="2" t="s">
        <v>277</v>
      </c>
      <c r="E51" s="3">
        <v>55.662999999999997</v>
      </c>
      <c r="F51" s="2" t="s">
        <v>278</v>
      </c>
      <c r="G51" s="2" t="s">
        <v>279</v>
      </c>
      <c r="H51" s="15" t="s">
        <v>121</v>
      </c>
      <c r="I51" s="2" t="s">
        <v>365</v>
      </c>
      <c r="J51" s="2"/>
      <c r="K51" s="2" t="s">
        <v>281</v>
      </c>
      <c r="L51" s="2" t="s">
        <v>120</v>
      </c>
    </row>
    <row r="52" spans="1:12" ht="52" customHeight="1" x14ac:dyDescent="0.35">
      <c r="A52" s="2" t="s">
        <v>366</v>
      </c>
      <c r="B52" s="2" t="s">
        <v>184</v>
      </c>
      <c r="C52" s="2" t="s">
        <v>276</v>
      </c>
      <c r="D52" s="2" t="s">
        <v>283</v>
      </c>
      <c r="E52" s="19">
        <v>7.8299999999999995E-2</v>
      </c>
      <c r="F52" s="2" t="s">
        <v>284</v>
      </c>
      <c r="G52" s="2" t="s">
        <v>285</v>
      </c>
      <c r="H52" s="15" t="s">
        <v>286</v>
      </c>
      <c r="I52" s="2" t="s">
        <v>367</v>
      </c>
      <c r="J52" s="2"/>
      <c r="K52" s="2" t="s">
        <v>281</v>
      </c>
      <c r="L52" s="2" t="s">
        <v>288</v>
      </c>
    </row>
    <row r="53" spans="1:12" ht="52" customHeight="1" x14ac:dyDescent="0.35">
      <c r="A53" s="2" t="s">
        <v>214</v>
      </c>
      <c r="B53" s="2" t="s">
        <v>209</v>
      </c>
      <c r="C53" s="2" t="s">
        <v>289</v>
      </c>
      <c r="D53" s="2" t="s">
        <v>210</v>
      </c>
      <c r="E53" s="18">
        <v>47.515999999999998</v>
      </c>
      <c r="F53" s="2" t="s">
        <v>246</v>
      </c>
      <c r="G53" s="2" t="s">
        <v>368</v>
      </c>
      <c r="H53" s="15" t="s">
        <v>212</v>
      </c>
      <c r="I53" s="2" t="s">
        <v>369</v>
      </c>
      <c r="J53" s="2"/>
      <c r="K53" s="2" t="s">
        <v>249</v>
      </c>
      <c r="L53" s="2" t="s">
        <v>250</v>
      </c>
    </row>
    <row r="54" spans="1:12" ht="52" customHeight="1" x14ac:dyDescent="0.35">
      <c r="A54" s="2" t="s">
        <v>215</v>
      </c>
      <c r="B54" s="2" t="s">
        <v>209</v>
      </c>
      <c r="C54" s="2" t="s">
        <v>289</v>
      </c>
      <c r="D54" s="2" t="s">
        <v>251</v>
      </c>
      <c r="E54" s="18">
        <v>17.012</v>
      </c>
      <c r="F54" s="2" t="s">
        <v>252</v>
      </c>
      <c r="G54" s="2" t="s">
        <v>368</v>
      </c>
      <c r="H54" s="15" t="s">
        <v>212</v>
      </c>
      <c r="I54" s="2" t="s">
        <v>370</v>
      </c>
      <c r="J54" s="2"/>
      <c r="K54" s="2" t="s">
        <v>249</v>
      </c>
      <c r="L54" s="2" t="s">
        <v>211</v>
      </c>
    </row>
    <row r="55" spans="1:12" ht="52" customHeight="1" x14ac:dyDescent="0.35">
      <c r="A55" s="2" t="s">
        <v>218</v>
      </c>
      <c r="B55" s="2" t="s">
        <v>209</v>
      </c>
      <c r="C55" s="2" t="s">
        <v>293</v>
      </c>
      <c r="D55" s="2" t="s">
        <v>210</v>
      </c>
      <c r="E55" s="18">
        <v>51.241999999999997</v>
      </c>
      <c r="F55" s="2" t="s">
        <v>246</v>
      </c>
      <c r="G55" s="2" t="s">
        <v>371</v>
      </c>
      <c r="H55" s="15" t="s">
        <v>216</v>
      </c>
      <c r="I55" s="2" t="s">
        <v>372</v>
      </c>
      <c r="J55" s="2" t="s">
        <v>373</v>
      </c>
      <c r="K55" s="2" t="s">
        <v>249</v>
      </c>
      <c r="L55" s="2" t="s">
        <v>250</v>
      </c>
    </row>
    <row r="56" spans="1:12" ht="52" customHeight="1" x14ac:dyDescent="0.35">
      <c r="A56" s="2" t="s">
        <v>219</v>
      </c>
      <c r="B56" s="2" t="s">
        <v>209</v>
      </c>
      <c r="C56" s="2" t="s">
        <v>293</v>
      </c>
      <c r="D56" s="2" t="s">
        <v>251</v>
      </c>
      <c r="E56" s="18">
        <v>19.373999999999999</v>
      </c>
      <c r="F56" s="2" t="s">
        <v>252</v>
      </c>
      <c r="G56" s="2" t="s">
        <v>371</v>
      </c>
      <c r="H56" s="15" t="s">
        <v>216</v>
      </c>
      <c r="I56" s="2" t="s">
        <v>374</v>
      </c>
      <c r="J56" s="2" t="s">
        <v>373</v>
      </c>
      <c r="K56" s="2" t="s">
        <v>249</v>
      </c>
      <c r="L56" s="2" t="s">
        <v>211</v>
      </c>
    </row>
    <row r="57" spans="1:12" ht="52" customHeight="1" x14ac:dyDescent="0.35">
      <c r="A57" s="2" t="s">
        <v>223</v>
      </c>
      <c r="B57" s="2" t="s">
        <v>209</v>
      </c>
      <c r="C57" s="2" t="s">
        <v>298</v>
      </c>
      <c r="D57" s="2" t="s">
        <v>210</v>
      </c>
      <c r="E57" s="18">
        <v>59.893000000000001</v>
      </c>
      <c r="F57" s="2" t="s">
        <v>246</v>
      </c>
      <c r="G57" s="2" t="s">
        <v>375</v>
      </c>
      <c r="H57" s="15" t="s">
        <v>221</v>
      </c>
      <c r="I57" s="2" t="s">
        <v>376</v>
      </c>
      <c r="J57" s="2" t="s">
        <v>377</v>
      </c>
      <c r="K57" s="2" t="s">
        <v>249</v>
      </c>
      <c r="L57" s="2" t="s">
        <v>250</v>
      </c>
    </row>
    <row r="58" spans="1:12" ht="52" customHeight="1" x14ac:dyDescent="0.35">
      <c r="A58" s="2" t="s">
        <v>224</v>
      </c>
      <c r="B58" s="2" t="s">
        <v>209</v>
      </c>
      <c r="C58" s="2" t="s">
        <v>298</v>
      </c>
      <c r="D58" s="2" t="s">
        <v>251</v>
      </c>
      <c r="E58" s="18">
        <v>22.137</v>
      </c>
      <c r="F58" s="2" t="s">
        <v>252</v>
      </c>
      <c r="G58" s="2" t="s">
        <v>375</v>
      </c>
      <c r="H58" s="15" t="s">
        <v>221</v>
      </c>
      <c r="I58" s="2" t="s">
        <v>378</v>
      </c>
      <c r="J58" s="2" t="s">
        <v>377</v>
      </c>
      <c r="K58" s="2" t="s">
        <v>249</v>
      </c>
      <c r="L58" s="2" t="s">
        <v>220</v>
      </c>
    </row>
    <row r="59" spans="1:12" ht="52" customHeight="1" x14ac:dyDescent="0.35">
      <c r="A59" s="2" t="s">
        <v>227</v>
      </c>
      <c r="B59" s="2" t="s">
        <v>209</v>
      </c>
      <c r="C59" s="2" t="s">
        <v>303</v>
      </c>
      <c r="D59" s="2" t="s">
        <v>210</v>
      </c>
      <c r="E59" s="18">
        <v>56.311</v>
      </c>
      <c r="F59" s="2" t="s">
        <v>246</v>
      </c>
      <c r="G59" s="2" t="s">
        <v>379</v>
      </c>
      <c r="H59" s="15" t="s">
        <v>225</v>
      </c>
      <c r="I59" s="2" t="s">
        <v>380</v>
      </c>
      <c r="J59" s="2" t="s">
        <v>381</v>
      </c>
      <c r="K59" s="2" t="s">
        <v>249</v>
      </c>
      <c r="L59" s="2" t="s">
        <v>250</v>
      </c>
    </row>
    <row r="60" spans="1:12" ht="52" customHeight="1" x14ac:dyDescent="0.35">
      <c r="A60" s="2" t="s">
        <v>228</v>
      </c>
      <c r="B60" s="2" t="s">
        <v>209</v>
      </c>
      <c r="C60" s="2" t="s">
        <v>303</v>
      </c>
      <c r="D60" s="2" t="s">
        <v>251</v>
      </c>
      <c r="E60" s="18">
        <v>19.84</v>
      </c>
      <c r="F60" s="2" t="s">
        <v>252</v>
      </c>
      <c r="G60" s="2" t="s">
        <v>379</v>
      </c>
      <c r="H60" s="15" t="s">
        <v>225</v>
      </c>
      <c r="I60" s="2" t="s">
        <v>382</v>
      </c>
      <c r="J60" s="2" t="s">
        <v>381</v>
      </c>
      <c r="K60" s="2" t="s">
        <v>249</v>
      </c>
      <c r="L60" s="2" t="s">
        <v>211</v>
      </c>
    </row>
    <row r="61" spans="1:12" ht="52" customHeight="1" x14ac:dyDescent="0.35">
      <c r="A61" s="2" t="s">
        <v>232</v>
      </c>
      <c r="B61" s="2" t="s">
        <v>209</v>
      </c>
      <c r="C61" s="2" t="s">
        <v>308</v>
      </c>
      <c r="D61" s="2" t="s">
        <v>210</v>
      </c>
      <c r="E61" s="18">
        <v>60.801000000000002</v>
      </c>
      <c r="F61" s="2" t="s">
        <v>246</v>
      </c>
      <c r="G61" s="2" t="s">
        <v>383</v>
      </c>
      <c r="H61" s="15" t="s">
        <v>230</v>
      </c>
      <c r="I61" s="2" t="s">
        <v>384</v>
      </c>
      <c r="J61" s="2" t="s">
        <v>385</v>
      </c>
      <c r="K61" s="2" t="s">
        <v>249</v>
      </c>
      <c r="L61" s="2" t="s">
        <v>250</v>
      </c>
    </row>
    <row r="62" spans="1:12" ht="52" customHeight="1" x14ac:dyDescent="0.35">
      <c r="A62" s="2" t="s">
        <v>233</v>
      </c>
      <c r="B62" s="2" t="s">
        <v>209</v>
      </c>
      <c r="C62" s="2" t="s">
        <v>308</v>
      </c>
      <c r="D62" s="2" t="s">
        <v>251</v>
      </c>
      <c r="E62" s="18">
        <v>31.077999999999999</v>
      </c>
      <c r="F62" s="2" t="s">
        <v>252</v>
      </c>
      <c r="G62" s="2" t="s">
        <v>383</v>
      </c>
      <c r="H62" s="15" t="s">
        <v>230</v>
      </c>
      <c r="I62" s="2" t="s">
        <v>386</v>
      </c>
      <c r="J62" s="2" t="s">
        <v>385</v>
      </c>
      <c r="K62" s="2" t="s">
        <v>249</v>
      </c>
      <c r="L62" s="2" t="s">
        <v>229</v>
      </c>
    </row>
    <row r="63" spans="1:12" ht="52" customHeight="1" x14ac:dyDescent="0.35">
      <c r="A63" s="2" t="s">
        <v>387</v>
      </c>
      <c r="B63" s="2" t="s">
        <v>209</v>
      </c>
      <c r="C63" s="2" t="s">
        <v>276</v>
      </c>
      <c r="D63" s="2" t="s">
        <v>277</v>
      </c>
      <c r="E63" s="3">
        <v>137.5</v>
      </c>
      <c r="F63" s="2" t="s">
        <v>278</v>
      </c>
      <c r="G63" s="2" t="s">
        <v>279</v>
      </c>
      <c r="H63" s="15" t="s">
        <v>130</v>
      </c>
      <c r="I63" s="2" t="s">
        <v>388</v>
      </c>
      <c r="J63" s="2"/>
      <c r="K63" s="2" t="s">
        <v>281</v>
      </c>
      <c r="L63" s="2" t="s">
        <v>129</v>
      </c>
    </row>
    <row r="64" spans="1:12" ht="52" customHeight="1" x14ac:dyDescent="0.35">
      <c r="A64" s="2" t="s">
        <v>389</v>
      </c>
      <c r="B64" s="2" t="s">
        <v>209</v>
      </c>
      <c r="C64" s="2" t="s">
        <v>276</v>
      </c>
      <c r="D64" s="2" t="s">
        <v>283</v>
      </c>
      <c r="E64" s="19">
        <v>0.1066</v>
      </c>
      <c r="F64" s="2" t="s">
        <v>284</v>
      </c>
      <c r="G64" s="2" t="s">
        <v>285</v>
      </c>
      <c r="H64" s="15" t="s">
        <v>286</v>
      </c>
      <c r="I64" s="2" t="s">
        <v>316</v>
      </c>
      <c r="J64" s="2"/>
      <c r="K64" s="2" t="s">
        <v>281</v>
      </c>
      <c r="L64" s="2" t="s">
        <v>288</v>
      </c>
    </row>
    <row r="67" spans="1:12" x14ac:dyDescent="0.35">
      <c r="A67" s="25" t="s">
        <v>390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</row>
    <row r="68" spans="1:12" ht="38" customHeight="1" x14ac:dyDescent="0.35">
      <c r="A68" s="28" t="s">
        <v>391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</row>
    <row r="69" spans="1:12" ht="38" customHeight="1" x14ac:dyDescent="0.35">
      <c r="A69" s="27" t="s">
        <v>392</v>
      </c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</row>
    <row r="70" spans="1:12" ht="38" customHeight="1" x14ac:dyDescent="0.35">
      <c r="A70" s="28" t="s">
        <v>393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</row>
    <row r="71" spans="1:12" ht="38" customHeight="1" x14ac:dyDescent="0.35">
      <c r="A71" s="27" t="s">
        <v>394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</row>
    <row r="72" spans="1:12" ht="38" customHeight="1" x14ac:dyDescent="0.35">
      <c r="A72" s="28" t="s">
        <v>395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</row>
    <row r="73" spans="1:12" ht="38" customHeight="1" x14ac:dyDescent="0.35">
      <c r="A73" s="27" t="s">
        <v>396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</row>
    <row r="74" spans="1:12" ht="38" customHeight="1" x14ac:dyDescent="0.35">
      <c r="A74" s="28" t="s">
        <v>397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</row>
  </sheetData>
  <autoFilter ref="A4:L64" xr:uid="{00000000-0009-0000-0000-000003000000}"/>
  <mergeCells count="10">
    <mergeCell ref="A1:L1"/>
    <mergeCell ref="A74:L74"/>
    <mergeCell ref="A70:L70"/>
    <mergeCell ref="A67:L67"/>
    <mergeCell ref="A69:L69"/>
    <mergeCell ref="A73:L73"/>
    <mergeCell ref="A2:L2"/>
    <mergeCell ref="A72:L72"/>
    <mergeCell ref="A68:L68"/>
    <mergeCell ref="A71:L71"/>
  </mergeCells>
  <hyperlinks>
    <hyperlink ref="H5" r:id="rId1" xr:uid="{00000000-0004-0000-0300-000000000000}"/>
    <hyperlink ref="H6" r:id="rId2" xr:uid="{00000000-0004-0000-0300-000001000000}"/>
    <hyperlink ref="H7" r:id="rId3" xr:uid="{00000000-0004-0000-0300-000002000000}"/>
    <hyperlink ref="H8" r:id="rId4" xr:uid="{00000000-0004-0000-0300-000003000000}"/>
    <hyperlink ref="H9" r:id="rId5" xr:uid="{00000000-0004-0000-0300-000004000000}"/>
    <hyperlink ref="H10" r:id="rId6" xr:uid="{00000000-0004-0000-0300-000005000000}"/>
    <hyperlink ref="H11" r:id="rId7" xr:uid="{00000000-0004-0000-0300-000006000000}"/>
    <hyperlink ref="H12" r:id="rId8" xr:uid="{00000000-0004-0000-0300-000007000000}"/>
    <hyperlink ref="H13" r:id="rId9" xr:uid="{00000000-0004-0000-0300-000008000000}"/>
    <hyperlink ref="H14" r:id="rId10" xr:uid="{00000000-0004-0000-0300-000009000000}"/>
    <hyperlink ref="H15" r:id="rId11" xr:uid="{00000000-0004-0000-0300-00000A000000}"/>
    <hyperlink ref="H16" r:id="rId12" xr:uid="{00000000-0004-0000-0300-00000B000000}"/>
    <hyperlink ref="H17" r:id="rId13" xr:uid="{00000000-0004-0000-0300-00000C000000}"/>
    <hyperlink ref="H18" r:id="rId14" xr:uid="{00000000-0004-0000-0300-00000D000000}"/>
    <hyperlink ref="H19" r:id="rId15" xr:uid="{00000000-0004-0000-0300-00000E000000}"/>
    <hyperlink ref="H20" r:id="rId16" xr:uid="{00000000-0004-0000-0300-00000F000000}"/>
    <hyperlink ref="H21" r:id="rId17" xr:uid="{00000000-0004-0000-0300-000010000000}"/>
    <hyperlink ref="H22" r:id="rId18" xr:uid="{00000000-0004-0000-0300-000011000000}"/>
    <hyperlink ref="H23" r:id="rId19" xr:uid="{00000000-0004-0000-0300-000012000000}"/>
    <hyperlink ref="H24" r:id="rId20" xr:uid="{00000000-0004-0000-0300-000013000000}"/>
    <hyperlink ref="H25" r:id="rId21" xr:uid="{00000000-0004-0000-0300-000014000000}"/>
    <hyperlink ref="H26" r:id="rId22" xr:uid="{00000000-0004-0000-0300-000015000000}"/>
    <hyperlink ref="H27" r:id="rId23" xr:uid="{00000000-0004-0000-0300-000016000000}"/>
    <hyperlink ref="H28" r:id="rId24" xr:uid="{00000000-0004-0000-0300-000017000000}"/>
    <hyperlink ref="H29" r:id="rId25" xr:uid="{00000000-0004-0000-0300-000018000000}"/>
    <hyperlink ref="H30" r:id="rId26" xr:uid="{00000000-0004-0000-0300-000019000000}"/>
    <hyperlink ref="H31" r:id="rId27" xr:uid="{00000000-0004-0000-0300-00001A000000}"/>
    <hyperlink ref="H32" r:id="rId28" xr:uid="{00000000-0004-0000-0300-00001B000000}"/>
    <hyperlink ref="H33" r:id="rId29" xr:uid="{00000000-0004-0000-0300-00001C000000}"/>
    <hyperlink ref="H34" r:id="rId30" xr:uid="{00000000-0004-0000-0300-00001D000000}"/>
    <hyperlink ref="H35" r:id="rId31" xr:uid="{00000000-0004-0000-0300-00001E000000}"/>
    <hyperlink ref="H36" r:id="rId32" xr:uid="{00000000-0004-0000-0300-00001F000000}"/>
    <hyperlink ref="H37" r:id="rId33" xr:uid="{00000000-0004-0000-0300-000020000000}"/>
    <hyperlink ref="H38" r:id="rId34" xr:uid="{00000000-0004-0000-0300-000021000000}"/>
    <hyperlink ref="H39" r:id="rId35" xr:uid="{00000000-0004-0000-0300-000022000000}"/>
    <hyperlink ref="H40" r:id="rId36" xr:uid="{00000000-0004-0000-0300-000023000000}"/>
    <hyperlink ref="H41" r:id="rId37" xr:uid="{00000000-0004-0000-0300-000024000000}"/>
    <hyperlink ref="H42" r:id="rId38" xr:uid="{00000000-0004-0000-0300-000025000000}"/>
    <hyperlink ref="H43" r:id="rId39" xr:uid="{00000000-0004-0000-0300-000026000000}"/>
    <hyperlink ref="H44" r:id="rId40" xr:uid="{00000000-0004-0000-0300-000027000000}"/>
    <hyperlink ref="H45" r:id="rId41" xr:uid="{00000000-0004-0000-0300-000028000000}"/>
    <hyperlink ref="H46" r:id="rId42" xr:uid="{00000000-0004-0000-0300-000029000000}"/>
    <hyperlink ref="H47" r:id="rId43" xr:uid="{00000000-0004-0000-0300-00002A000000}"/>
    <hyperlink ref="H48" r:id="rId44" xr:uid="{00000000-0004-0000-0300-00002B000000}"/>
    <hyperlink ref="H49" r:id="rId45" xr:uid="{00000000-0004-0000-0300-00002C000000}"/>
    <hyperlink ref="H50" r:id="rId46" xr:uid="{00000000-0004-0000-0300-00002D000000}"/>
    <hyperlink ref="H51" r:id="rId47" xr:uid="{00000000-0004-0000-0300-00002E000000}"/>
    <hyperlink ref="H52" r:id="rId48" xr:uid="{00000000-0004-0000-0300-00002F000000}"/>
    <hyperlink ref="H53" r:id="rId49" xr:uid="{00000000-0004-0000-0300-000030000000}"/>
    <hyperlink ref="H54" r:id="rId50" xr:uid="{00000000-0004-0000-0300-000031000000}"/>
    <hyperlink ref="H55" r:id="rId51" xr:uid="{00000000-0004-0000-0300-000032000000}"/>
    <hyperlink ref="H56" r:id="rId52" xr:uid="{00000000-0004-0000-0300-000033000000}"/>
    <hyperlink ref="H57" r:id="rId53" xr:uid="{00000000-0004-0000-0300-000034000000}"/>
    <hyperlink ref="H58" r:id="rId54" xr:uid="{00000000-0004-0000-0300-000035000000}"/>
    <hyperlink ref="H59" r:id="rId55" xr:uid="{00000000-0004-0000-0300-000036000000}"/>
    <hyperlink ref="H60" r:id="rId56" xr:uid="{00000000-0004-0000-0300-000037000000}"/>
    <hyperlink ref="H61" r:id="rId57" xr:uid="{00000000-0004-0000-0300-000038000000}"/>
    <hyperlink ref="H62" r:id="rId58" xr:uid="{00000000-0004-0000-0300-000039000000}"/>
    <hyperlink ref="H63" r:id="rId59" xr:uid="{00000000-0004-0000-0300-00003A000000}"/>
    <hyperlink ref="H64" r:id="rId60" xr:uid="{00000000-0004-0000-0300-00003B000000}"/>
  </hyperlinks>
  <pageMargins left="0.25" right="0.25" top="0.4" bottom="0.4" header="0.2" footer="0.2"/>
  <legacyDrawing r:id="rId6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38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2" customWidth="1"/>
    <col min="2" max="2" width="48" customWidth="1"/>
    <col min="3" max="4" width="20" customWidth="1"/>
    <col min="5" max="5" width="14" customWidth="1"/>
    <col min="6" max="6" width="12" customWidth="1"/>
  </cols>
  <sheetData>
    <row r="1" spans="1:6" x14ac:dyDescent="0.35">
      <c r="A1" s="25" t="s">
        <v>398</v>
      </c>
      <c r="B1" s="24"/>
      <c r="C1" s="24"/>
      <c r="D1" s="24"/>
      <c r="E1" s="24"/>
      <c r="F1" s="24"/>
    </row>
    <row r="3" spans="1:6" x14ac:dyDescent="0.35">
      <c r="A3" s="1" t="s">
        <v>399</v>
      </c>
      <c r="B3" s="1" t="s">
        <v>400</v>
      </c>
      <c r="C3" s="1" t="s">
        <v>401</v>
      </c>
      <c r="D3" s="1" t="s">
        <v>402</v>
      </c>
      <c r="E3" s="1" t="s">
        <v>403</v>
      </c>
      <c r="F3" s="1" t="s">
        <v>243</v>
      </c>
    </row>
    <row r="4" spans="1:6" x14ac:dyDescent="0.35">
      <c r="A4" s="2" t="s">
        <v>404</v>
      </c>
      <c r="B4" s="2" t="s">
        <v>405</v>
      </c>
      <c r="C4" s="20">
        <v>82.28</v>
      </c>
      <c r="D4" s="20">
        <f>Trajectory!C7</f>
        <v>82.28</v>
      </c>
      <c r="E4" s="2">
        <v>1E-8</v>
      </c>
      <c r="F4" s="2" t="str">
        <f t="shared" ref="F4:F35" si="0">IF(ABS(C4-D4)&lt;=E4,"PASS","FAIL")</f>
        <v>PASS</v>
      </c>
    </row>
    <row r="5" spans="1:6" x14ac:dyDescent="0.35">
      <c r="A5" s="2" t="s">
        <v>406</v>
      </c>
      <c r="B5" s="2" t="s">
        <v>407</v>
      </c>
      <c r="C5" s="20">
        <v>73.599999999999994</v>
      </c>
      <c r="D5" s="20">
        <f>Trajectory!C8</f>
        <v>73.599999999999994</v>
      </c>
      <c r="E5" s="2">
        <v>1E-8</v>
      </c>
      <c r="F5" s="2" t="str">
        <f t="shared" si="0"/>
        <v>PASS</v>
      </c>
    </row>
    <row r="6" spans="1:6" x14ac:dyDescent="0.35">
      <c r="A6" s="2" t="s">
        <v>408</v>
      </c>
      <c r="B6" s="2" t="s">
        <v>409</v>
      </c>
      <c r="C6" s="21">
        <v>0.26835196888672819</v>
      </c>
      <c r="D6" s="21">
        <f>Trajectory!C9</f>
        <v>0.26835196888672824</v>
      </c>
      <c r="E6" s="2">
        <v>1E-10</v>
      </c>
      <c r="F6" s="2" t="str">
        <f t="shared" si="0"/>
        <v>PASS</v>
      </c>
    </row>
    <row r="7" spans="1:6" x14ac:dyDescent="0.35">
      <c r="A7" s="2" t="s">
        <v>410</v>
      </c>
      <c r="B7" s="2" t="s">
        <v>411</v>
      </c>
      <c r="C7" s="21">
        <v>0.17495196888672829</v>
      </c>
      <c r="D7" s="21">
        <f>Trajectory!C10</f>
        <v>0.17495196888672826</v>
      </c>
      <c r="E7" s="2">
        <v>1E-10</v>
      </c>
      <c r="F7" s="2" t="str">
        <f t="shared" si="0"/>
        <v>PASS</v>
      </c>
    </row>
    <row r="8" spans="1:6" x14ac:dyDescent="0.35">
      <c r="A8" s="2" t="s">
        <v>412</v>
      </c>
      <c r="B8" s="2" t="s">
        <v>413</v>
      </c>
      <c r="C8" s="20">
        <v>118.66</v>
      </c>
      <c r="D8" s="20">
        <f>Trajectory!D7</f>
        <v>118.66</v>
      </c>
      <c r="E8" s="2">
        <v>1E-8</v>
      </c>
      <c r="F8" s="2" t="str">
        <f t="shared" si="0"/>
        <v>PASS</v>
      </c>
    </row>
    <row r="9" spans="1:6" x14ac:dyDescent="0.35">
      <c r="A9" s="2" t="s">
        <v>414</v>
      </c>
      <c r="B9" s="2" t="s">
        <v>415</v>
      </c>
      <c r="C9" s="20">
        <v>78.400000000000006</v>
      </c>
      <c r="D9" s="20">
        <f>Trajectory!D8</f>
        <v>78.400000000000006</v>
      </c>
      <c r="E9" s="2">
        <v>1E-8</v>
      </c>
      <c r="F9" s="2" t="str">
        <f t="shared" si="0"/>
        <v>PASS</v>
      </c>
    </row>
    <row r="10" spans="1:6" x14ac:dyDescent="0.35">
      <c r="A10" s="2" t="s">
        <v>416</v>
      </c>
      <c r="B10" s="2" t="s">
        <v>417</v>
      </c>
      <c r="C10" s="21">
        <v>0.19821338277431319</v>
      </c>
      <c r="D10" s="21">
        <f>Trajectory!D9</f>
        <v>0.19821338277431316</v>
      </c>
      <c r="E10" s="2">
        <v>1E-10</v>
      </c>
      <c r="F10" s="2" t="str">
        <f t="shared" si="0"/>
        <v>PASS</v>
      </c>
    </row>
    <row r="11" spans="1:6" x14ac:dyDescent="0.35">
      <c r="A11" s="2" t="s">
        <v>418</v>
      </c>
      <c r="B11" s="2" t="s">
        <v>419</v>
      </c>
      <c r="C11" s="21">
        <v>0.10481338277431319</v>
      </c>
      <c r="D11" s="21">
        <f>Trajectory!D10</f>
        <v>0.10481338277431317</v>
      </c>
      <c r="E11" s="2">
        <v>1E-10</v>
      </c>
      <c r="F11" s="2" t="str">
        <f t="shared" si="0"/>
        <v>PASS</v>
      </c>
    </row>
    <row r="12" spans="1:6" x14ac:dyDescent="0.35">
      <c r="A12" s="2" t="s">
        <v>420</v>
      </c>
      <c r="B12" s="2" t="s">
        <v>421</v>
      </c>
      <c r="C12" s="20">
        <v>127.5</v>
      </c>
      <c r="D12" s="20">
        <f>Trajectory!E7</f>
        <v>127.5</v>
      </c>
      <c r="E12" s="2">
        <v>1E-8</v>
      </c>
      <c r="F12" s="2" t="str">
        <f t="shared" si="0"/>
        <v>PASS</v>
      </c>
    </row>
    <row r="13" spans="1:6" x14ac:dyDescent="0.35">
      <c r="A13" s="2" t="s">
        <v>422</v>
      </c>
      <c r="B13" s="2" t="s">
        <v>423</v>
      </c>
      <c r="C13" s="20">
        <v>125</v>
      </c>
      <c r="D13" s="20">
        <f>Trajectory!E8</f>
        <v>125</v>
      </c>
      <c r="E13" s="2">
        <v>1E-8</v>
      </c>
      <c r="F13" s="2" t="str">
        <f t="shared" si="0"/>
        <v>PASS</v>
      </c>
    </row>
    <row r="14" spans="1:6" x14ac:dyDescent="0.35">
      <c r="A14" s="2" t="s">
        <v>424</v>
      </c>
      <c r="B14" s="2" t="s">
        <v>425</v>
      </c>
      <c r="C14" s="21">
        <v>0.29411764705882348</v>
      </c>
      <c r="D14" s="21">
        <f>Trajectory!E9</f>
        <v>0.29411764705882354</v>
      </c>
      <c r="E14" s="2">
        <v>1E-10</v>
      </c>
      <c r="F14" s="2" t="str">
        <f t="shared" si="0"/>
        <v>PASS</v>
      </c>
    </row>
    <row r="15" spans="1:6" x14ac:dyDescent="0.35">
      <c r="A15" s="2" t="s">
        <v>426</v>
      </c>
      <c r="B15" s="2" t="s">
        <v>427</v>
      </c>
      <c r="C15" s="21">
        <v>0.20071764705882361</v>
      </c>
      <c r="D15" s="21">
        <f>Trajectory!E10</f>
        <v>0.20071764705882356</v>
      </c>
      <c r="E15" s="2">
        <v>1E-10</v>
      </c>
      <c r="F15" s="2" t="str">
        <f t="shared" si="0"/>
        <v>PASS</v>
      </c>
    </row>
    <row r="16" spans="1:6" x14ac:dyDescent="0.35">
      <c r="A16" s="2" t="s">
        <v>428</v>
      </c>
      <c r="B16" s="2" t="s">
        <v>429</v>
      </c>
      <c r="C16" s="20">
        <v>108.46</v>
      </c>
      <c r="D16" s="20">
        <f>Trajectory!F7</f>
        <v>108.46</v>
      </c>
      <c r="E16" s="2">
        <v>1E-8</v>
      </c>
      <c r="F16" s="2" t="str">
        <f t="shared" si="0"/>
        <v>PASS</v>
      </c>
    </row>
    <row r="17" spans="1:6" x14ac:dyDescent="0.35">
      <c r="A17" s="2" t="s">
        <v>430</v>
      </c>
      <c r="B17" s="2" t="s">
        <v>431</v>
      </c>
      <c r="C17" s="20">
        <v>125.4</v>
      </c>
      <c r="D17" s="20">
        <f>Trajectory!F8</f>
        <v>125.4</v>
      </c>
      <c r="E17" s="2">
        <v>1E-8</v>
      </c>
      <c r="F17" s="2" t="str">
        <f t="shared" si="0"/>
        <v>PASS</v>
      </c>
    </row>
    <row r="18" spans="1:6" x14ac:dyDescent="0.35">
      <c r="A18" s="2" t="s">
        <v>432</v>
      </c>
      <c r="B18" s="2" t="s">
        <v>433</v>
      </c>
      <c r="C18" s="21">
        <v>0.34685598377281951</v>
      </c>
      <c r="D18" s="21">
        <f>Trajectory!F9</f>
        <v>0.34685598377281945</v>
      </c>
      <c r="E18" s="2">
        <v>1E-10</v>
      </c>
      <c r="F18" s="2" t="str">
        <f t="shared" si="0"/>
        <v>PASS</v>
      </c>
    </row>
    <row r="19" spans="1:6" x14ac:dyDescent="0.35">
      <c r="A19" s="2" t="s">
        <v>434</v>
      </c>
      <c r="B19" s="2" t="s">
        <v>435</v>
      </c>
      <c r="C19" s="21">
        <v>0.25345598377281953</v>
      </c>
      <c r="D19" s="21">
        <f>Trajectory!F10</f>
        <v>0.25345598377281947</v>
      </c>
      <c r="E19" s="2">
        <v>1E-10</v>
      </c>
      <c r="F19" s="2" t="str">
        <f t="shared" si="0"/>
        <v>PASS</v>
      </c>
    </row>
    <row r="20" spans="1:6" x14ac:dyDescent="0.35">
      <c r="A20" s="2" t="s">
        <v>436</v>
      </c>
      <c r="B20" s="2" t="s">
        <v>437</v>
      </c>
      <c r="C20" s="20">
        <v>139.4</v>
      </c>
      <c r="D20" s="20">
        <f>Trajectory!G7</f>
        <v>139.4</v>
      </c>
      <c r="E20" s="2">
        <v>1E-8</v>
      </c>
      <c r="F20" s="2" t="str">
        <f t="shared" si="0"/>
        <v>PASS</v>
      </c>
    </row>
    <row r="21" spans="1:6" x14ac:dyDescent="0.35">
      <c r="A21" s="2" t="s">
        <v>438</v>
      </c>
      <c r="B21" s="2" t="s">
        <v>439</v>
      </c>
      <c r="C21" s="20">
        <v>135.6</v>
      </c>
      <c r="D21" s="20">
        <f>Trajectory!G8</f>
        <v>135.6</v>
      </c>
      <c r="E21" s="2">
        <v>1E-8</v>
      </c>
      <c r="F21" s="2" t="str">
        <f t="shared" si="0"/>
        <v>PASS</v>
      </c>
    </row>
    <row r="22" spans="1:6" x14ac:dyDescent="0.35">
      <c r="A22" s="2" t="s">
        <v>440</v>
      </c>
      <c r="B22" s="2" t="s">
        <v>441</v>
      </c>
      <c r="C22" s="21">
        <v>0.29182209469153508</v>
      </c>
      <c r="D22" s="21">
        <f>Trajectory!G9</f>
        <v>0.29182209469153514</v>
      </c>
      <c r="E22" s="2">
        <v>1E-10</v>
      </c>
      <c r="F22" s="2" t="str">
        <f t="shared" si="0"/>
        <v>PASS</v>
      </c>
    </row>
    <row r="23" spans="1:6" x14ac:dyDescent="0.35">
      <c r="A23" s="2" t="s">
        <v>442</v>
      </c>
      <c r="B23" s="2" t="s">
        <v>443</v>
      </c>
      <c r="C23" s="21">
        <v>0.19842209469153521</v>
      </c>
      <c r="D23" s="21">
        <f>Trajectory!G10</f>
        <v>0.19842209469153516</v>
      </c>
      <c r="E23" s="2">
        <v>1E-10</v>
      </c>
      <c r="F23" s="2" t="str">
        <f t="shared" si="0"/>
        <v>PASS</v>
      </c>
    </row>
    <row r="24" spans="1:6" x14ac:dyDescent="0.35">
      <c r="A24" s="2" t="s">
        <v>444</v>
      </c>
      <c r="B24" s="2" t="s">
        <v>445</v>
      </c>
      <c r="C24" s="20">
        <v>135.6</v>
      </c>
      <c r="D24" s="20">
        <f>Snapshot!B14</f>
        <v>135.6</v>
      </c>
      <c r="E24" s="2">
        <v>1E-8</v>
      </c>
      <c r="F24" s="2" t="str">
        <f t="shared" si="0"/>
        <v>PASS</v>
      </c>
    </row>
    <row r="25" spans="1:6" x14ac:dyDescent="0.35">
      <c r="A25" s="2" t="s">
        <v>446</v>
      </c>
      <c r="B25" s="2" t="s">
        <v>447</v>
      </c>
      <c r="C25" s="20">
        <v>148.75</v>
      </c>
      <c r="D25" s="20">
        <f>Snapshot!B12</f>
        <v>148.75</v>
      </c>
      <c r="E25" s="2">
        <v>1E-8</v>
      </c>
      <c r="F25" s="2" t="str">
        <f t="shared" si="0"/>
        <v>PASS</v>
      </c>
    </row>
    <row r="26" spans="1:6" x14ac:dyDescent="0.35">
      <c r="A26" s="2" t="s">
        <v>448</v>
      </c>
      <c r="B26" s="2" t="s">
        <v>449</v>
      </c>
      <c r="C26" s="21">
        <v>0.27347899159663858</v>
      </c>
      <c r="D26" s="21">
        <f>Snapshot!B17</f>
        <v>0.27347899159663863</v>
      </c>
      <c r="E26" s="2">
        <v>1E-10</v>
      </c>
      <c r="F26" s="2" t="str">
        <f t="shared" si="0"/>
        <v>PASS</v>
      </c>
    </row>
    <row r="27" spans="1:6" x14ac:dyDescent="0.35">
      <c r="A27" s="2" t="s">
        <v>450</v>
      </c>
      <c r="B27" s="2" t="s">
        <v>451</v>
      </c>
      <c r="C27" s="21">
        <v>0.18007899159663859</v>
      </c>
      <c r="D27" s="21">
        <f>Snapshot!B19</f>
        <v>0.18007899159663865</v>
      </c>
      <c r="E27" s="2">
        <v>1E-10</v>
      </c>
      <c r="F27" s="2" t="str">
        <f t="shared" si="0"/>
        <v>PASS</v>
      </c>
    </row>
    <row r="28" spans="1:6" x14ac:dyDescent="0.35">
      <c r="A28" s="2" t="s">
        <v>452</v>
      </c>
      <c r="B28" s="2" t="s">
        <v>453</v>
      </c>
      <c r="C28" s="21">
        <v>8.8919327731092443E-2</v>
      </c>
      <c r="D28" s="21">
        <f>Snapshot!B21</f>
        <v>8.8919327731092443E-2</v>
      </c>
      <c r="E28" s="2">
        <v>1E-10</v>
      </c>
      <c r="F28" s="2" t="str">
        <f t="shared" si="0"/>
        <v>PASS</v>
      </c>
    </row>
    <row r="29" spans="1:6" x14ac:dyDescent="0.35">
      <c r="A29" s="2" t="s">
        <v>454</v>
      </c>
      <c r="B29" s="2" t="s">
        <v>455</v>
      </c>
      <c r="C29" s="21">
        <v>0.2712386554621849</v>
      </c>
      <c r="D29" s="21">
        <f>Snapshot!B23</f>
        <v>0.2712386554621849</v>
      </c>
      <c r="E29" s="2">
        <v>1E-10</v>
      </c>
      <c r="F29" s="2" t="str">
        <f t="shared" si="0"/>
        <v>PASS</v>
      </c>
    </row>
    <row r="30" spans="1:6" x14ac:dyDescent="0.35">
      <c r="A30" s="2" t="s">
        <v>456</v>
      </c>
      <c r="B30" s="2" t="s">
        <v>457</v>
      </c>
      <c r="C30" s="22">
        <v>234.70125804806901</v>
      </c>
      <c r="D30" s="22">
        <f>Snapshot!B27</f>
        <v>234.70125804806895</v>
      </c>
      <c r="E30" s="2">
        <v>0.01</v>
      </c>
      <c r="F30" s="2" t="str">
        <f t="shared" si="0"/>
        <v>PASS</v>
      </c>
    </row>
    <row r="31" spans="1:6" x14ac:dyDescent="0.35">
      <c r="A31" s="2" t="s">
        <v>458</v>
      </c>
      <c r="B31" s="2" t="s">
        <v>459</v>
      </c>
      <c r="C31" s="20">
        <v>71.827200000000005</v>
      </c>
      <c r="D31" s="20">
        <f>Trajectory!C14</f>
        <v>71.827200000000005</v>
      </c>
      <c r="E31" s="2">
        <v>1E-8</v>
      </c>
      <c r="F31" s="2" t="str">
        <f t="shared" si="0"/>
        <v>PASS</v>
      </c>
    </row>
    <row r="32" spans="1:6" x14ac:dyDescent="0.35">
      <c r="A32" s="2" t="s">
        <v>460</v>
      </c>
      <c r="B32" s="2" t="s">
        <v>461</v>
      </c>
      <c r="C32" s="20">
        <v>28.132000000000001</v>
      </c>
      <c r="D32" s="20">
        <f>Trajectory!C15</f>
        <v>28.131999999999998</v>
      </c>
      <c r="E32" s="2">
        <v>1E-8</v>
      </c>
      <c r="F32" s="2" t="str">
        <f t="shared" si="0"/>
        <v>PASS</v>
      </c>
    </row>
    <row r="33" spans="1:6" x14ac:dyDescent="0.35">
      <c r="A33" s="2" t="s">
        <v>462</v>
      </c>
      <c r="B33" s="2" t="s">
        <v>463</v>
      </c>
      <c r="C33" s="21">
        <v>0.1174986634589682</v>
      </c>
      <c r="D33" s="21">
        <f>Trajectory!C16</f>
        <v>0.11749866345896816</v>
      </c>
      <c r="E33" s="2">
        <v>1E-10</v>
      </c>
      <c r="F33" s="2" t="str">
        <f t="shared" si="0"/>
        <v>PASS</v>
      </c>
    </row>
    <row r="34" spans="1:6" x14ac:dyDescent="0.35">
      <c r="A34" s="2" t="s">
        <v>464</v>
      </c>
      <c r="B34" s="2" t="s">
        <v>465</v>
      </c>
      <c r="C34" s="21">
        <v>1.089866345896816E-2</v>
      </c>
      <c r="D34" s="21">
        <f>Trajectory!C17</f>
        <v>1.0898663458968158E-2</v>
      </c>
      <c r="E34" s="2">
        <v>1E-10</v>
      </c>
      <c r="F34" s="2" t="str">
        <f t="shared" si="0"/>
        <v>PASS</v>
      </c>
    </row>
    <row r="35" spans="1:6" x14ac:dyDescent="0.35">
      <c r="A35" s="2" t="s">
        <v>466</v>
      </c>
      <c r="B35" s="2" t="s">
        <v>467</v>
      </c>
      <c r="C35" s="20">
        <v>76.649600000000007</v>
      </c>
      <c r="D35" s="20">
        <f>Trajectory!D14</f>
        <v>76.649600000000007</v>
      </c>
      <c r="E35" s="2">
        <v>1E-8</v>
      </c>
      <c r="F35" s="2" t="str">
        <f t="shared" si="0"/>
        <v>PASS</v>
      </c>
    </row>
    <row r="36" spans="1:6" x14ac:dyDescent="0.35">
      <c r="A36" s="2" t="s">
        <v>468</v>
      </c>
      <c r="B36" s="2" t="s">
        <v>469</v>
      </c>
      <c r="C36" s="20">
        <v>41.002000000000002</v>
      </c>
      <c r="D36" s="20">
        <f>Trajectory!D15</f>
        <v>41.001999999999995</v>
      </c>
      <c r="E36" s="2">
        <v>1E-8</v>
      </c>
      <c r="F36" s="2" t="str">
        <f t="shared" ref="F36:F67" si="1">IF(ABS(C36-D36)&lt;=E36,"PASS","FAIL")</f>
        <v>PASS</v>
      </c>
    </row>
    <row r="37" spans="1:6" x14ac:dyDescent="0.35">
      <c r="A37" s="2" t="s">
        <v>470</v>
      </c>
      <c r="B37" s="2" t="s">
        <v>471</v>
      </c>
      <c r="C37" s="21">
        <v>0.1604783325679455</v>
      </c>
      <c r="D37" s="21">
        <f>Trajectory!D16</f>
        <v>0.16047833256794553</v>
      </c>
      <c r="E37" s="2">
        <v>1E-10</v>
      </c>
      <c r="F37" s="2" t="str">
        <f t="shared" si="1"/>
        <v>PASS</v>
      </c>
    </row>
    <row r="38" spans="1:6" x14ac:dyDescent="0.35">
      <c r="A38" s="2" t="s">
        <v>472</v>
      </c>
      <c r="B38" s="2" t="s">
        <v>473</v>
      </c>
      <c r="C38" s="21">
        <v>5.3878332567945518E-2</v>
      </c>
      <c r="D38" s="21">
        <f>Trajectory!D17</f>
        <v>5.3878332567945525E-2</v>
      </c>
      <c r="E38" s="2">
        <v>1E-10</v>
      </c>
      <c r="F38" s="2" t="str">
        <f t="shared" si="1"/>
        <v>PASS</v>
      </c>
    </row>
    <row r="39" spans="1:6" x14ac:dyDescent="0.35">
      <c r="A39" s="2" t="s">
        <v>474</v>
      </c>
      <c r="B39" s="2" t="s">
        <v>475</v>
      </c>
      <c r="C39" s="20">
        <v>89.123199999999997</v>
      </c>
      <c r="D39" s="20">
        <f>Trajectory!E14</f>
        <v>89.123199999999997</v>
      </c>
      <c r="E39" s="2">
        <v>1E-8</v>
      </c>
      <c r="F39" s="2" t="str">
        <f t="shared" si="1"/>
        <v>PASS</v>
      </c>
    </row>
    <row r="40" spans="1:6" x14ac:dyDescent="0.35">
      <c r="A40" s="2" t="s">
        <v>476</v>
      </c>
      <c r="B40" s="2" t="s">
        <v>477</v>
      </c>
      <c r="C40" s="20">
        <v>63.128000000000007</v>
      </c>
      <c r="D40" s="20">
        <f>Trajectory!E15</f>
        <v>63.128000000000007</v>
      </c>
      <c r="E40" s="2">
        <v>1E-8</v>
      </c>
      <c r="F40" s="2" t="str">
        <f t="shared" si="1"/>
        <v>PASS</v>
      </c>
    </row>
    <row r="41" spans="1:6" x14ac:dyDescent="0.35">
      <c r="A41" s="2" t="s">
        <v>478</v>
      </c>
      <c r="B41" s="2" t="s">
        <v>479</v>
      </c>
      <c r="C41" s="21">
        <v>0.21249685828156981</v>
      </c>
      <c r="D41" s="21">
        <f>Trajectory!E16</f>
        <v>0.21249685828156981</v>
      </c>
      <c r="E41" s="2">
        <v>1E-10</v>
      </c>
      <c r="F41" s="2" t="str">
        <f t="shared" si="1"/>
        <v>PASS</v>
      </c>
    </row>
    <row r="42" spans="1:6" x14ac:dyDescent="0.35">
      <c r="A42" s="2" t="s">
        <v>480</v>
      </c>
      <c r="B42" s="2" t="s">
        <v>481</v>
      </c>
      <c r="C42" s="21">
        <v>0.10589685828156981</v>
      </c>
      <c r="D42" s="21">
        <f>Trajectory!E17</f>
        <v>0.10589685828156981</v>
      </c>
      <c r="E42" s="2">
        <v>1E-10</v>
      </c>
      <c r="F42" s="2" t="str">
        <f t="shared" si="1"/>
        <v>PASS</v>
      </c>
    </row>
    <row r="43" spans="1:6" x14ac:dyDescent="0.35">
      <c r="A43" s="2" t="s">
        <v>482</v>
      </c>
      <c r="B43" s="2" t="s">
        <v>483</v>
      </c>
      <c r="C43" s="20">
        <v>114.1568</v>
      </c>
      <c r="D43" s="20">
        <f>Trajectory!F14</f>
        <v>114.1568</v>
      </c>
      <c r="E43" s="2">
        <v>1E-8</v>
      </c>
      <c r="F43" s="2" t="str">
        <f t="shared" si="1"/>
        <v>PASS</v>
      </c>
    </row>
    <row r="44" spans="1:6" x14ac:dyDescent="0.35">
      <c r="A44" s="2" t="s">
        <v>484</v>
      </c>
      <c r="B44" s="2" t="s">
        <v>485</v>
      </c>
      <c r="C44" s="20">
        <v>121.57599999999999</v>
      </c>
      <c r="D44" s="20">
        <f>Trajectory!F15</f>
        <v>121.57599999999999</v>
      </c>
      <c r="E44" s="2">
        <v>1E-8</v>
      </c>
      <c r="F44" s="2" t="str">
        <f t="shared" si="1"/>
        <v>PASS</v>
      </c>
    </row>
    <row r="45" spans="1:6" x14ac:dyDescent="0.35">
      <c r="A45" s="2" t="s">
        <v>486</v>
      </c>
      <c r="B45" s="2" t="s">
        <v>487</v>
      </c>
      <c r="C45" s="21">
        <v>0.31949739305937103</v>
      </c>
      <c r="D45" s="21">
        <f>Trajectory!F16</f>
        <v>0.31949739305937097</v>
      </c>
      <c r="E45" s="2">
        <v>1E-10</v>
      </c>
      <c r="F45" s="2" t="str">
        <f t="shared" si="1"/>
        <v>PASS</v>
      </c>
    </row>
    <row r="46" spans="1:6" x14ac:dyDescent="0.35">
      <c r="A46" s="2" t="s">
        <v>488</v>
      </c>
      <c r="B46" s="2" t="s">
        <v>489</v>
      </c>
      <c r="C46" s="21">
        <v>0.212897393059371</v>
      </c>
      <c r="D46" s="21">
        <f>Trajectory!F17</f>
        <v>0.21289739305937097</v>
      </c>
      <c r="E46" s="2">
        <v>1E-10</v>
      </c>
      <c r="F46" s="2" t="str">
        <f t="shared" si="1"/>
        <v>PASS</v>
      </c>
    </row>
    <row r="47" spans="1:6" x14ac:dyDescent="0.35">
      <c r="A47" s="2" t="s">
        <v>490</v>
      </c>
      <c r="B47" s="2" t="s">
        <v>491</v>
      </c>
      <c r="C47" s="20">
        <v>143.7568</v>
      </c>
      <c r="D47" s="20">
        <f>Trajectory!G14</f>
        <v>143.7568</v>
      </c>
      <c r="E47" s="2">
        <v>1E-8</v>
      </c>
      <c r="F47" s="2" t="str">
        <f t="shared" si="1"/>
        <v>PASS</v>
      </c>
    </row>
    <row r="48" spans="1:6" x14ac:dyDescent="0.35">
      <c r="A48" s="2" t="s">
        <v>492</v>
      </c>
      <c r="B48" s="2" t="s">
        <v>493</v>
      </c>
      <c r="C48" s="20">
        <v>135.07</v>
      </c>
      <c r="D48" s="20">
        <f>Trajectory!G15</f>
        <v>135.07</v>
      </c>
      <c r="E48" s="2">
        <v>1E-8</v>
      </c>
      <c r="F48" s="2" t="str">
        <f t="shared" si="1"/>
        <v>PASS</v>
      </c>
    </row>
    <row r="49" spans="1:6" x14ac:dyDescent="0.35">
      <c r="A49" s="2" t="s">
        <v>494</v>
      </c>
      <c r="B49" s="2" t="s">
        <v>495</v>
      </c>
      <c r="C49" s="21">
        <v>0.28187188362567889</v>
      </c>
      <c r="D49" s="21">
        <f>Trajectory!G16</f>
        <v>0.28187188362567889</v>
      </c>
      <c r="E49" s="2">
        <v>1E-10</v>
      </c>
      <c r="F49" s="2" t="str">
        <f t="shared" si="1"/>
        <v>PASS</v>
      </c>
    </row>
    <row r="50" spans="1:6" x14ac:dyDescent="0.35">
      <c r="A50" s="2" t="s">
        <v>496</v>
      </c>
      <c r="B50" s="2" t="s">
        <v>497</v>
      </c>
      <c r="C50" s="21">
        <v>0.17527188362567889</v>
      </c>
      <c r="D50" s="21">
        <f>Trajectory!G17</f>
        <v>0.17527188362567889</v>
      </c>
      <c r="E50" s="2">
        <v>1E-10</v>
      </c>
      <c r="F50" s="2" t="str">
        <f t="shared" si="1"/>
        <v>PASS</v>
      </c>
    </row>
    <row r="51" spans="1:6" x14ac:dyDescent="0.35">
      <c r="A51" s="2" t="s">
        <v>498</v>
      </c>
      <c r="B51" s="2" t="s">
        <v>499</v>
      </c>
      <c r="C51" s="20">
        <v>135.07</v>
      </c>
      <c r="D51" s="20">
        <f>Snapshot!C14</f>
        <v>135.07</v>
      </c>
      <c r="E51" s="2">
        <v>1E-8</v>
      </c>
      <c r="F51" s="2" t="str">
        <f t="shared" si="1"/>
        <v>PASS</v>
      </c>
    </row>
    <row r="52" spans="1:6" x14ac:dyDescent="0.35">
      <c r="A52" s="2" t="s">
        <v>500</v>
      </c>
      <c r="B52" s="2" t="s">
        <v>501</v>
      </c>
      <c r="C52" s="20">
        <v>160</v>
      </c>
      <c r="D52" s="20">
        <f>Snapshot!C12</f>
        <v>160</v>
      </c>
      <c r="E52" s="2">
        <v>1E-8</v>
      </c>
      <c r="F52" s="2" t="str">
        <f t="shared" si="1"/>
        <v>PASS</v>
      </c>
    </row>
    <row r="53" spans="1:6" x14ac:dyDescent="0.35">
      <c r="A53" s="2" t="s">
        <v>502</v>
      </c>
      <c r="B53" s="2" t="s">
        <v>503</v>
      </c>
      <c r="C53" s="21">
        <v>0.25325625000000002</v>
      </c>
      <c r="D53" s="21">
        <f>Snapshot!C17</f>
        <v>0.25325624999999996</v>
      </c>
      <c r="E53" s="2">
        <v>1E-10</v>
      </c>
      <c r="F53" s="2" t="str">
        <f t="shared" si="1"/>
        <v>PASS</v>
      </c>
    </row>
    <row r="54" spans="1:6" x14ac:dyDescent="0.35">
      <c r="A54" s="2" t="s">
        <v>504</v>
      </c>
      <c r="B54" s="2" t="s">
        <v>505</v>
      </c>
      <c r="C54" s="21">
        <v>0.14665624999999999</v>
      </c>
      <c r="D54" s="21">
        <f>Snapshot!C19</f>
        <v>0.14665624999999996</v>
      </c>
      <c r="E54" s="2">
        <v>1E-10</v>
      </c>
      <c r="F54" s="2" t="str">
        <f t="shared" si="1"/>
        <v>PASS</v>
      </c>
    </row>
    <row r="55" spans="1:6" x14ac:dyDescent="0.35">
      <c r="A55" s="2" t="s">
        <v>506</v>
      </c>
      <c r="B55" s="2" t="s">
        <v>507</v>
      </c>
      <c r="C55" s="21">
        <v>6.2237500000000001E-2</v>
      </c>
      <c r="D55" s="21">
        <f>Snapshot!C21</f>
        <v>6.2237500000000001E-2</v>
      </c>
      <c r="E55" s="2">
        <v>1E-10</v>
      </c>
      <c r="F55" s="2" t="str">
        <f t="shared" si="1"/>
        <v>PASS</v>
      </c>
    </row>
    <row r="56" spans="1:6" x14ac:dyDescent="0.35">
      <c r="A56" s="2" t="s">
        <v>508</v>
      </c>
      <c r="B56" s="2" t="s">
        <v>509</v>
      </c>
      <c r="C56" s="21">
        <v>0.231075</v>
      </c>
      <c r="D56" s="21">
        <f>Snapshot!C23</f>
        <v>0.231075</v>
      </c>
      <c r="E56" s="2">
        <v>1E-10</v>
      </c>
      <c r="F56" s="2" t="str">
        <f t="shared" si="1"/>
        <v>PASS</v>
      </c>
    </row>
    <row r="57" spans="1:6" x14ac:dyDescent="0.35">
      <c r="A57" s="2" t="s">
        <v>510</v>
      </c>
      <c r="B57" s="2" t="s">
        <v>511</v>
      </c>
      <c r="C57" s="22">
        <v>1643.7322016671069</v>
      </c>
      <c r="D57" s="22">
        <f>Snapshot!C27</f>
        <v>1643.7322016671073</v>
      </c>
      <c r="E57" s="2">
        <v>0.01</v>
      </c>
      <c r="F57" s="2" t="str">
        <f t="shared" si="1"/>
        <v>PASS</v>
      </c>
    </row>
    <row r="58" spans="1:6" x14ac:dyDescent="0.35">
      <c r="A58" s="2" t="s">
        <v>512</v>
      </c>
      <c r="B58" s="2" t="s">
        <v>513</v>
      </c>
      <c r="C58" s="20">
        <v>96.549000000000007</v>
      </c>
      <c r="D58" s="20">
        <f>Trajectory!C21</f>
        <v>96.549000000000007</v>
      </c>
      <c r="E58" s="2">
        <v>1E-8</v>
      </c>
      <c r="F58" s="2" t="str">
        <f t="shared" si="1"/>
        <v>PASS</v>
      </c>
    </row>
    <row r="59" spans="1:6" x14ac:dyDescent="0.35">
      <c r="A59" s="2" t="s">
        <v>514</v>
      </c>
      <c r="B59" s="2" t="s">
        <v>515</v>
      </c>
      <c r="C59" s="20">
        <v>26.8125</v>
      </c>
      <c r="D59" s="20">
        <f>Trajectory!C22</f>
        <v>26.812500000000004</v>
      </c>
      <c r="E59" s="2">
        <v>1E-8</v>
      </c>
      <c r="F59" s="2" t="str">
        <f t="shared" si="1"/>
        <v>PASS</v>
      </c>
    </row>
    <row r="60" spans="1:6" x14ac:dyDescent="0.35">
      <c r="A60" s="2" t="s">
        <v>516</v>
      </c>
      <c r="B60" s="2" t="s">
        <v>517</v>
      </c>
      <c r="C60" s="21">
        <v>7.7758443898952881E-2</v>
      </c>
      <c r="D60" s="21">
        <f>Trajectory!C23</f>
        <v>7.7758443898952881E-2</v>
      </c>
      <c r="E60" s="2">
        <v>1E-10</v>
      </c>
      <c r="F60" s="2" t="str">
        <f t="shared" si="1"/>
        <v>PASS</v>
      </c>
    </row>
    <row r="61" spans="1:6" x14ac:dyDescent="0.35">
      <c r="A61" s="2" t="s">
        <v>518</v>
      </c>
      <c r="B61" s="2" t="s">
        <v>519</v>
      </c>
      <c r="C61" s="21">
        <v>5.0584438989528802E-3</v>
      </c>
      <c r="D61" s="21">
        <f>Trajectory!C24</f>
        <v>5.0584438989528802E-3</v>
      </c>
      <c r="E61" s="2">
        <v>1E-10</v>
      </c>
      <c r="F61" s="2" t="str">
        <f t="shared" si="1"/>
        <v>PASS</v>
      </c>
    </row>
    <row r="62" spans="1:6" x14ac:dyDescent="0.35">
      <c r="A62" s="2" t="s">
        <v>520</v>
      </c>
      <c r="B62" s="2" t="s">
        <v>521</v>
      </c>
      <c r="C62" s="20">
        <v>105.285</v>
      </c>
      <c r="D62" s="20">
        <f>Trajectory!D21</f>
        <v>105.285</v>
      </c>
      <c r="E62" s="2">
        <v>1E-8</v>
      </c>
      <c r="F62" s="2" t="str">
        <f t="shared" si="1"/>
        <v>PASS</v>
      </c>
    </row>
    <row r="63" spans="1:6" x14ac:dyDescent="0.35">
      <c r="A63" s="2" t="s">
        <v>522</v>
      </c>
      <c r="B63" s="2" t="s">
        <v>523</v>
      </c>
      <c r="C63" s="20">
        <v>27.5</v>
      </c>
      <c r="D63" s="20">
        <f>Trajectory!D22</f>
        <v>27.500000000000004</v>
      </c>
      <c r="E63" s="2">
        <v>1E-8</v>
      </c>
      <c r="F63" s="2" t="str">
        <f t="shared" si="1"/>
        <v>PASS</v>
      </c>
    </row>
    <row r="64" spans="1:6" x14ac:dyDescent="0.35">
      <c r="A64" s="2" t="s">
        <v>524</v>
      </c>
      <c r="B64" s="2" t="s">
        <v>525</v>
      </c>
      <c r="C64" s="21">
        <v>7.3134824523911304E-2</v>
      </c>
      <c r="D64" s="21">
        <f>Trajectory!D23</f>
        <v>7.3134824523911304E-2</v>
      </c>
      <c r="E64" s="2">
        <v>1E-10</v>
      </c>
      <c r="F64" s="2" t="str">
        <f t="shared" si="1"/>
        <v>PASS</v>
      </c>
    </row>
    <row r="65" spans="1:6" x14ac:dyDescent="0.35">
      <c r="A65" s="2" t="s">
        <v>526</v>
      </c>
      <c r="B65" s="2" t="s">
        <v>527</v>
      </c>
      <c r="C65" s="21">
        <v>4.3482452391130361E-4</v>
      </c>
      <c r="D65" s="21">
        <f>Trajectory!D24</f>
        <v>4.3482452391130355E-4</v>
      </c>
      <c r="E65" s="2">
        <v>1E-10</v>
      </c>
      <c r="F65" s="2" t="str">
        <f t="shared" si="1"/>
        <v>PASS</v>
      </c>
    </row>
    <row r="66" spans="1:6" x14ac:dyDescent="0.35">
      <c r="A66" s="2" t="s">
        <v>528</v>
      </c>
      <c r="B66" s="2" t="s">
        <v>529</v>
      </c>
      <c r="C66" s="20">
        <v>118.566</v>
      </c>
      <c r="D66" s="20">
        <f>Trajectory!E21</f>
        <v>118.566</v>
      </c>
      <c r="E66" s="2">
        <v>1E-8</v>
      </c>
      <c r="F66" s="2" t="str">
        <f t="shared" si="1"/>
        <v>PASS</v>
      </c>
    </row>
    <row r="67" spans="1:6" x14ac:dyDescent="0.35">
      <c r="A67" s="2" t="s">
        <v>530</v>
      </c>
      <c r="B67" s="2" t="s">
        <v>531</v>
      </c>
      <c r="C67" s="20">
        <v>33.549999999999997</v>
      </c>
      <c r="D67" s="20">
        <f>Trajectory!E22</f>
        <v>33.550000000000004</v>
      </c>
      <c r="E67" s="2">
        <v>1E-8</v>
      </c>
      <c r="F67" s="2" t="str">
        <f t="shared" si="1"/>
        <v>PASS</v>
      </c>
    </row>
    <row r="68" spans="1:6" x14ac:dyDescent="0.35">
      <c r="A68" s="2" t="s">
        <v>532</v>
      </c>
      <c r="B68" s="2" t="s">
        <v>533</v>
      </c>
      <c r="C68" s="21">
        <v>7.9230133427795502E-2</v>
      </c>
      <c r="D68" s="21">
        <f>Trajectory!E23</f>
        <v>7.9230133427795502E-2</v>
      </c>
      <c r="E68" s="2">
        <v>1E-10</v>
      </c>
      <c r="F68" s="2" t="str">
        <f t="shared" ref="F68:F99" si="2">IF(ABS(C68-D68)&lt;=E68,"PASS","FAIL")</f>
        <v>PASS</v>
      </c>
    </row>
    <row r="69" spans="1:6" x14ac:dyDescent="0.35">
      <c r="A69" s="2" t="s">
        <v>534</v>
      </c>
      <c r="B69" s="2" t="s">
        <v>535</v>
      </c>
      <c r="C69" s="21">
        <v>6.5301334277955009E-3</v>
      </c>
      <c r="D69" s="21">
        <f>Trajectory!E24</f>
        <v>6.5301334277955009E-3</v>
      </c>
      <c r="E69" s="2">
        <v>1E-10</v>
      </c>
      <c r="F69" s="2" t="str">
        <f t="shared" si="2"/>
        <v>PASS</v>
      </c>
    </row>
    <row r="70" spans="1:6" x14ac:dyDescent="0.35">
      <c r="A70" s="2" t="s">
        <v>536</v>
      </c>
      <c r="B70" s="2" t="s">
        <v>537</v>
      </c>
      <c r="C70" s="20">
        <v>132.60900000000001</v>
      </c>
      <c r="D70" s="20">
        <f>Trajectory!F21</f>
        <v>132.60900000000001</v>
      </c>
      <c r="E70" s="2">
        <v>1E-8</v>
      </c>
      <c r="F70" s="2" t="str">
        <f t="shared" si="2"/>
        <v>PASS</v>
      </c>
    </row>
    <row r="71" spans="1:6" x14ac:dyDescent="0.35">
      <c r="A71" s="2" t="s">
        <v>538</v>
      </c>
      <c r="B71" s="2" t="s">
        <v>539</v>
      </c>
      <c r="C71" s="20">
        <v>50.05</v>
      </c>
      <c r="D71" s="20">
        <f>Trajectory!F22</f>
        <v>50.050000000000004</v>
      </c>
      <c r="E71" s="2">
        <v>1E-8</v>
      </c>
      <c r="F71" s="2" t="str">
        <f t="shared" si="2"/>
        <v>PASS</v>
      </c>
    </row>
    <row r="72" spans="1:6" x14ac:dyDescent="0.35">
      <c r="A72" s="2" t="s">
        <v>540</v>
      </c>
      <c r="B72" s="2" t="s">
        <v>541</v>
      </c>
      <c r="C72" s="21">
        <v>0.1056791017200944</v>
      </c>
      <c r="D72" s="21">
        <f>Trajectory!F23</f>
        <v>0.10567910172009443</v>
      </c>
      <c r="E72" s="2">
        <v>1E-10</v>
      </c>
      <c r="F72" s="2" t="str">
        <f t="shared" si="2"/>
        <v>PASS</v>
      </c>
    </row>
    <row r="73" spans="1:6" x14ac:dyDescent="0.35">
      <c r="A73" s="2" t="s">
        <v>542</v>
      </c>
      <c r="B73" s="2" t="s">
        <v>543</v>
      </c>
      <c r="C73" s="21">
        <v>3.2979101720094432E-2</v>
      </c>
      <c r="D73" s="21">
        <f>Trajectory!F24</f>
        <v>3.2979101720094425E-2</v>
      </c>
      <c r="E73" s="2">
        <v>1E-10</v>
      </c>
      <c r="F73" s="2" t="str">
        <f t="shared" si="2"/>
        <v>PASS</v>
      </c>
    </row>
    <row r="74" spans="1:6" x14ac:dyDescent="0.35">
      <c r="A74" s="2" t="s">
        <v>544</v>
      </c>
      <c r="B74" s="2" t="s">
        <v>545</v>
      </c>
      <c r="C74" s="20">
        <v>162.624</v>
      </c>
      <c r="D74" s="20">
        <f>Trajectory!G21</f>
        <v>162.624</v>
      </c>
      <c r="E74" s="2">
        <v>1E-8</v>
      </c>
      <c r="F74" s="2" t="str">
        <f t="shared" si="2"/>
        <v>PASS</v>
      </c>
    </row>
    <row r="75" spans="1:6" x14ac:dyDescent="0.35">
      <c r="A75" s="2" t="s">
        <v>546</v>
      </c>
      <c r="B75" s="2" t="s">
        <v>547</v>
      </c>
      <c r="C75" s="20">
        <v>68.2</v>
      </c>
      <c r="D75" s="20">
        <f>Trajectory!G22</f>
        <v>68.2</v>
      </c>
      <c r="E75" s="2">
        <v>1E-8</v>
      </c>
      <c r="F75" s="2" t="str">
        <f t="shared" si="2"/>
        <v>PASS</v>
      </c>
    </row>
    <row r="76" spans="1:6" x14ac:dyDescent="0.35">
      <c r="A76" s="2" t="s">
        <v>548</v>
      </c>
      <c r="B76" s="2" t="s">
        <v>549</v>
      </c>
      <c r="C76" s="21">
        <v>0.1174242424242424</v>
      </c>
      <c r="D76" s="21">
        <f>Trajectory!G23</f>
        <v>0.11742424242424244</v>
      </c>
      <c r="E76" s="2">
        <v>1E-10</v>
      </c>
      <c r="F76" s="2" t="str">
        <f t="shared" si="2"/>
        <v>PASS</v>
      </c>
    </row>
    <row r="77" spans="1:6" x14ac:dyDescent="0.35">
      <c r="A77" s="2" t="s">
        <v>550</v>
      </c>
      <c r="B77" s="2" t="s">
        <v>551</v>
      </c>
      <c r="C77" s="21">
        <v>4.4724242424242437E-2</v>
      </c>
      <c r="D77" s="21">
        <f>Trajectory!G24</f>
        <v>4.4724242424242444E-2</v>
      </c>
      <c r="E77" s="2">
        <v>1E-10</v>
      </c>
      <c r="F77" s="2" t="str">
        <f t="shared" si="2"/>
        <v>PASS</v>
      </c>
    </row>
    <row r="78" spans="1:6" x14ac:dyDescent="0.35">
      <c r="A78" s="2" t="s">
        <v>552</v>
      </c>
      <c r="B78" s="2" t="s">
        <v>553</v>
      </c>
      <c r="C78" s="20">
        <v>68.2</v>
      </c>
      <c r="D78" s="20">
        <f>Snapshot!D14</f>
        <v>68.2</v>
      </c>
      <c r="E78" s="2">
        <v>1E-8</v>
      </c>
      <c r="F78" s="2" t="str">
        <f t="shared" si="2"/>
        <v>PASS</v>
      </c>
    </row>
    <row r="79" spans="1:6" x14ac:dyDescent="0.35">
      <c r="A79" s="2" t="s">
        <v>554</v>
      </c>
      <c r="B79" s="2" t="s">
        <v>555</v>
      </c>
      <c r="C79" s="20">
        <v>150</v>
      </c>
      <c r="D79" s="20">
        <f>Snapshot!D12</f>
        <v>150</v>
      </c>
      <c r="E79" s="2">
        <v>1E-8</v>
      </c>
      <c r="F79" s="2" t="str">
        <f t="shared" si="2"/>
        <v>PASS</v>
      </c>
    </row>
    <row r="80" spans="1:6" x14ac:dyDescent="0.35">
      <c r="A80" s="2" t="s">
        <v>556</v>
      </c>
      <c r="B80" s="2" t="s">
        <v>557</v>
      </c>
      <c r="C80" s="21">
        <v>0.12730666666666671</v>
      </c>
      <c r="D80" s="21">
        <f>Snapshot!D17</f>
        <v>0.12730666666666668</v>
      </c>
      <c r="E80" s="2">
        <v>1E-10</v>
      </c>
      <c r="F80" s="2" t="str">
        <f t="shared" si="2"/>
        <v>PASS</v>
      </c>
    </row>
    <row r="81" spans="1:6" x14ac:dyDescent="0.35">
      <c r="A81" s="2" t="s">
        <v>558</v>
      </c>
      <c r="B81" s="2" t="s">
        <v>559</v>
      </c>
      <c r="C81" s="21">
        <v>5.4606666666666678E-2</v>
      </c>
      <c r="D81" s="21">
        <f>Snapshot!D19</f>
        <v>5.4606666666666678E-2</v>
      </c>
      <c r="E81" s="2">
        <v>1E-10</v>
      </c>
      <c r="F81" s="2" t="str">
        <f t="shared" si="2"/>
        <v>PASS</v>
      </c>
    </row>
    <row r="82" spans="1:6" x14ac:dyDescent="0.35">
      <c r="A82" s="2" t="s">
        <v>560</v>
      </c>
      <c r="B82" s="2" t="s">
        <v>561</v>
      </c>
      <c r="C82" s="21">
        <v>1.8233333333333341E-2</v>
      </c>
      <c r="D82" s="21">
        <f>Snapshot!D21</f>
        <v>1.8233333333333338E-2</v>
      </c>
      <c r="E82" s="2">
        <v>1E-10</v>
      </c>
      <c r="F82" s="2" t="str">
        <f t="shared" si="2"/>
        <v>PASS</v>
      </c>
    </row>
    <row r="83" spans="1:6" x14ac:dyDescent="0.35">
      <c r="A83" s="2" t="s">
        <v>562</v>
      </c>
      <c r="B83" s="2" t="s">
        <v>563</v>
      </c>
      <c r="C83" s="21">
        <v>0.10007333333333331</v>
      </c>
      <c r="D83" s="21">
        <f>Snapshot!D23</f>
        <v>0.10007333333333333</v>
      </c>
      <c r="E83" s="2">
        <v>1E-10</v>
      </c>
      <c r="F83" s="2" t="str">
        <f t="shared" si="2"/>
        <v>PASS</v>
      </c>
    </row>
    <row r="84" spans="1:6" x14ac:dyDescent="0.35">
      <c r="A84" s="2" t="s">
        <v>564</v>
      </c>
      <c r="B84" s="2" t="s">
        <v>565</v>
      </c>
      <c r="C84" s="22">
        <v>396.65798525289563</v>
      </c>
      <c r="D84" s="22">
        <f>Snapshot!D27</f>
        <v>396.65798525289563</v>
      </c>
      <c r="E84" s="2">
        <v>0.01</v>
      </c>
      <c r="F84" s="2" t="str">
        <f t="shared" si="2"/>
        <v>PASS</v>
      </c>
    </row>
    <row r="85" spans="1:6" x14ac:dyDescent="0.35">
      <c r="A85" s="2" t="s">
        <v>566</v>
      </c>
      <c r="B85" s="2" t="s">
        <v>567</v>
      </c>
      <c r="C85" s="20">
        <v>32.688000000000002</v>
      </c>
      <c r="D85" s="20">
        <f>Trajectory!C28</f>
        <v>32.688000000000002</v>
      </c>
      <c r="E85" s="2">
        <v>1E-8</v>
      </c>
      <c r="F85" s="2" t="str">
        <f t="shared" si="2"/>
        <v>PASS</v>
      </c>
    </row>
    <row r="86" spans="1:6" x14ac:dyDescent="0.35">
      <c r="A86" s="2" t="s">
        <v>568</v>
      </c>
      <c r="B86" s="2" t="s">
        <v>569</v>
      </c>
      <c r="C86" s="20">
        <v>23.425999999999998</v>
      </c>
      <c r="D86" s="20">
        <f>Trajectory!C29</f>
        <v>23.426000000000002</v>
      </c>
      <c r="E86" s="2">
        <v>1E-8</v>
      </c>
      <c r="F86" s="2" t="str">
        <f t="shared" si="2"/>
        <v>PASS</v>
      </c>
    </row>
    <row r="87" spans="1:6" x14ac:dyDescent="0.35">
      <c r="A87" s="2" t="s">
        <v>570</v>
      </c>
      <c r="B87" s="2" t="s">
        <v>571</v>
      </c>
      <c r="C87" s="21">
        <v>0.1289977973568282</v>
      </c>
      <c r="D87" s="21">
        <f>Trajectory!C30</f>
        <v>0.1289977973568282</v>
      </c>
      <c r="E87" s="2">
        <v>1E-10</v>
      </c>
      <c r="F87" s="2" t="str">
        <f t="shared" si="2"/>
        <v>PASS</v>
      </c>
    </row>
    <row r="88" spans="1:6" x14ac:dyDescent="0.35">
      <c r="A88" s="2" t="s">
        <v>572</v>
      </c>
      <c r="B88" s="2" t="s">
        <v>573</v>
      </c>
      <c r="C88" s="21">
        <v>5.0697797356828209E-2</v>
      </c>
      <c r="D88" s="21">
        <f>Trajectory!C31</f>
        <v>5.0697797356828209E-2</v>
      </c>
      <c r="E88" s="2">
        <v>1E-10</v>
      </c>
      <c r="F88" s="2" t="str">
        <f t="shared" si="2"/>
        <v>PASS</v>
      </c>
    </row>
    <row r="89" spans="1:6" x14ac:dyDescent="0.35">
      <c r="A89" s="2" t="s">
        <v>574</v>
      </c>
      <c r="B89" s="2" t="s">
        <v>575</v>
      </c>
      <c r="C89" s="20">
        <v>30.607199999999999</v>
      </c>
      <c r="D89" s="20">
        <f>Trajectory!D28</f>
        <v>30.607200000000002</v>
      </c>
      <c r="E89" s="2">
        <v>1E-8</v>
      </c>
      <c r="F89" s="2" t="str">
        <f t="shared" si="2"/>
        <v>PASS</v>
      </c>
    </row>
    <row r="90" spans="1:6" x14ac:dyDescent="0.35">
      <c r="A90" s="2" t="s">
        <v>576</v>
      </c>
      <c r="B90" s="2" t="s">
        <v>577</v>
      </c>
      <c r="C90" s="20">
        <v>77.400999999999996</v>
      </c>
      <c r="D90" s="20">
        <f>Trajectory!D29</f>
        <v>77.400999999999996</v>
      </c>
      <c r="E90" s="2">
        <v>1E-8</v>
      </c>
      <c r="F90" s="2" t="str">
        <f t="shared" si="2"/>
        <v>PASS</v>
      </c>
    </row>
    <row r="91" spans="1:6" x14ac:dyDescent="0.35">
      <c r="A91" s="2" t="s">
        <v>578</v>
      </c>
      <c r="B91" s="2" t="s">
        <v>579</v>
      </c>
      <c r="C91" s="21">
        <v>0.455192895789226</v>
      </c>
      <c r="D91" s="21">
        <f>Trajectory!D30</f>
        <v>0.455192895789226</v>
      </c>
      <c r="E91" s="2">
        <v>1E-10</v>
      </c>
      <c r="F91" s="2" t="str">
        <f t="shared" si="2"/>
        <v>PASS</v>
      </c>
    </row>
    <row r="92" spans="1:6" x14ac:dyDescent="0.35">
      <c r="A92" s="2" t="s">
        <v>580</v>
      </c>
      <c r="B92" s="2" t="s">
        <v>581</v>
      </c>
      <c r="C92" s="21">
        <v>0.37689289578922602</v>
      </c>
      <c r="D92" s="21">
        <f>Trajectory!D31</f>
        <v>0.37689289578922602</v>
      </c>
      <c r="E92" s="2">
        <v>1E-10</v>
      </c>
      <c r="F92" s="2" t="str">
        <f t="shared" si="2"/>
        <v>PASS</v>
      </c>
    </row>
    <row r="93" spans="1:6" x14ac:dyDescent="0.35">
      <c r="A93" s="2" t="s">
        <v>582</v>
      </c>
      <c r="B93" s="2" t="s">
        <v>583</v>
      </c>
      <c r="C93" s="20">
        <v>43.318800000000003</v>
      </c>
      <c r="D93" s="20">
        <f>Trajectory!E28</f>
        <v>43.318799999999996</v>
      </c>
      <c r="E93" s="2">
        <v>1E-8</v>
      </c>
      <c r="F93" s="2" t="str">
        <f t="shared" si="2"/>
        <v>PASS</v>
      </c>
    </row>
    <row r="94" spans="1:6" x14ac:dyDescent="0.35">
      <c r="A94" s="2" t="s">
        <v>584</v>
      </c>
      <c r="B94" s="2" t="s">
        <v>585</v>
      </c>
      <c r="C94" s="20">
        <v>88.960999999999984</v>
      </c>
      <c r="D94" s="20">
        <f>Trajectory!E29</f>
        <v>88.960999999999984</v>
      </c>
      <c r="E94" s="2">
        <v>1E-8</v>
      </c>
      <c r="F94" s="2" t="str">
        <f t="shared" si="2"/>
        <v>PASS</v>
      </c>
    </row>
    <row r="95" spans="1:6" x14ac:dyDescent="0.35">
      <c r="A95" s="2" t="s">
        <v>586</v>
      </c>
      <c r="B95" s="2" t="s">
        <v>587</v>
      </c>
      <c r="C95" s="21">
        <v>0.36965428405218981</v>
      </c>
      <c r="D95" s="21">
        <f>Trajectory!E30</f>
        <v>0.36965428405218975</v>
      </c>
      <c r="E95" s="2">
        <v>1E-10</v>
      </c>
      <c r="F95" s="2" t="str">
        <f t="shared" si="2"/>
        <v>PASS</v>
      </c>
    </row>
    <row r="96" spans="1:6" x14ac:dyDescent="0.35">
      <c r="A96" s="2" t="s">
        <v>588</v>
      </c>
      <c r="B96" s="2" t="s">
        <v>589</v>
      </c>
      <c r="C96" s="21">
        <v>0.29135428405218983</v>
      </c>
      <c r="D96" s="21">
        <f>Trajectory!E31</f>
        <v>0.29135428405218977</v>
      </c>
      <c r="E96" s="2">
        <v>1E-10</v>
      </c>
      <c r="F96" s="2" t="str">
        <f t="shared" si="2"/>
        <v>PASS</v>
      </c>
    </row>
    <row r="97" spans="1:6" x14ac:dyDescent="0.35">
      <c r="A97" s="2" t="s">
        <v>590</v>
      </c>
      <c r="B97" s="2" t="s">
        <v>591</v>
      </c>
      <c r="C97" s="20">
        <v>67.086000000000013</v>
      </c>
      <c r="D97" s="20">
        <f>Trajectory!F28</f>
        <v>67.086000000000013</v>
      </c>
      <c r="E97" s="2">
        <v>1E-8</v>
      </c>
      <c r="F97" s="2" t="str">
        <f t="shared" si="2"/>
        <v>PASS</v>
      </c>
    </row>
    <row r="98" spans="1:6" x14ac:dyDescent="0.35">
      <c r="A98" s="2" t="s">
        <v>592</v>
      </c>
      <c r="B98" s="2" t="s">
        <v>593</v>
      </c>
      <c r="C98" s="20">
        <v>93.941999999999993</v>
      </c>
      <c r="D98" s="20">
        <f>Trajectory!F29</f>
        <v>93.941999999999993</v>
      </c>
      <c r="E98" s="2">
        <v>1E-8</v>
      </c>
      <c r="F98" s="2" t="str">
        <f t="shared" si="2"/>
        <v>PASS</v>
      </c>
    </row>
    <row r="99" spans="1:6" x14ac:dyDescent="0.35">
      <c r="A99" s="2" t="s">
        <v>594</v>
      </c>
      <c r="B99" s="2" t="s">
        <v>595</v>
      </c>
      <c r="C99" s="21">
        <v>0.25205795546015558</v>
      </c>
      <c r="D99" s="21">
        <f>Trajectory!F30</f>
        <v>0.25205795546015558</v>
      </c>
      <c r="E99" s="2">
        <v>1E-10</v>
      </c>
      <c r="F99" s="2" t="str">
        <f t="shared" si="2"/>
        <v>PASS</v>
      </c>
    </row>
    <row r="100" spans="1:6" x14ac:dyDescent="0.35">
      <c r="A100" s="2" t="s">
        <v>596</v>
      </c>
      <c r="B100" s="2" t="s">
        <v>597</v>
      </c>
      <c r="C100" s="21">
        <v>0.1737579554601556</v>
      </c>
      <c r="D100" s="21">
        <f>Trajectory!F31</f>
        <v>0.1737579554601556</v>
      </c>
      <c r="E100" s="2">
        <v>1E-10</v>
      </c>
      <c r="F100" s="2" t="str">
        <f t="shared" ref="F100:F131" si="3">IF(ABS(C100-D100)&lt;=E100,"PASS","FAIL")</f>
        <v>PASS</v>
      </c>
    </row>
    <row r="101" spans="1:6" x14ac:dyDescent="0.35">
      <c r="A101" s="2" t="s">
        <v>598</v>
      </c>
      <c r="B101" s="2" t="s">
        <v>599</v>
      </c>
      <c r="C101" s="20">
        <v>59.374799999999993</v>
      </c>
      <c r="D101" s="20">
        <f>Trajectory!G28</f>
        <v>59.374799999999993</v>
      </c>
      <c r="E101" s="2">
        <v>1E-8</v>
      </c>
      <c r="F101" s="2" t="str">
        <f t="shared" si="3"/>
        <v>PASS</v>
      </c>
    </row>
    <row r="102" spans="1:6" x14ac:dyDescent="0.35">
      <c r="A102" s="2" t="s">
        <v>600</v>
      </c>
      <c r="B102" s="2" t="s">
        <v>601</v>
      </c>
      <c r="C102" s="20">
        <v>108.46</v>
      </c>
      <c r="D102" s="20">
        <f>Trajectory!G29</f>
        <v>108.46</v>
      </c>
      <c r="E102" s="2">
        <v>1E-8</v>
      </c>
      <c r="F102" s="2" t="str">
        <f t="shared" si="3"/>
        <v>PASS</v>
      </c>
    </row>
    <row r="103" spans="1:6" x14ac:dyDescent="0.35">
      <c r="A103" s="2" t="s">
        <v>602</v>
      </c>
      <c r="B103" s="2" t="s">
        <v>603</v>
      </c>
      <c r="C103" s="21">
        <v>0.32880616018917108</v>
      </c>
      <c r="D103" s="21">
        <f>Trajectory!G30</f>
        <v>0.32880616018917114</v>
      </c>
      <c r="E103" s="2">
        <v>1E-10</v>
      </c>
      <c r="F103" s="2" t="str">
        <f t="shared" si="3"/>
        <v>PASS</v>
      </c>
    </row>
    <row r="104" spans="1:6" x14ac:dyDescent="0.35">
      <c r="A104" s="2" t="s">
        <v>604</v>
      </c>
      <c r="B104" s="2" t="s">
        <v>605</v>
      </c>
      <c r="C104" s="21">
        <v>0.25050616018917121</v>
      </c>
      <c r="D104" s="21">
        <f>Trajectory!G31</f>
        <v>0.25050616018917116</v>
      </c>
      <c r="E104" s="2">
        <v>1E-10</v>
      </c>
      <c r="F104" s="2" t="str">
        <f t="shared" si="3"/>
        <v>PASS</v>
      </c>
    </row>
    <row r="105" spans="1:6" x14ac:dyDescent="0.35">
      <c r="A105" s="2" t="s">
        <v>606</v>
      </c>
      <c r="B105" s="2" t="s">
        <v>607</v>
      </c>
      <c r="C105" s="20">
        <v>108.46</v>
      </c>
      <c r="D105" s="20">
        <f>Snapshot!E14</f>
        <v>108.46</v>
      </c>
      <c r="E105" s="2">
        <v>1E-8</v>
      </c>
      <c r="F105" s="2" t="str">
        <f t="shared" si="3"/>
        <v>PASS</v>
      </c>
    </row>
    <row r="106" spans="1:6" x14ac:dyDescent="0.35">
      <c r="A106" s="2" t="s">
        <v>608</v>
      </c>
      <c r="B106" s="2" t="s">
        <v>609</v>
      </c>
      <c r="C106" s="20">
        <v>50.096699999999998</v>
      </c>
      <c r="D106" s="20">
        <f>Snapshot!E12</f>
        <v>50.096699999999998</v>
      </c>
      <c r="E106" s="2">
        <v>1E-8</v>
      </c>
      <c r="F106" s="2" t="str">
        <f t="shared" si="3"/>
        <v>PASS</v>
      </c>
    </row>
    <row r="107" spans="1:6" x14ac:dyDescent="0.35">
      <c r="A107" s="2" t="s">
        <v>610</v>
      </c>
      <c r="B107" s="2" t="s">
        <v>611</v>
      </c>
      <c r="C107" s="21">
        <v>0.38970231572139469</v>
      </c>
      <c r="D107" s="21">
        <f>Snapshot!E17</f>
        <v>0.38970231572139474</v>
      </c>
      <c r="E107" s="2">
        <v>1E-10</v>
      </c>
      <c r="F107" s="2" t="str">
        <f t="shared" si="3"/>
        <v>PASS</v>
      </c>
    </row>
    <row r="108" spans="1:6" x14ac:dyDescent="0.35">
      <c r="A108" s="2" t="s">
        <v>612</v>
      </c>
      <c r="B108" s="2" t="s">
        <v>613</v>
      </c>
      <c r="C108" s="21">
        <v>0.31140231572139482</v>
      </c>
      <c r="D108" s="21">
        <f>Snapshot!E19</f>
        <v>0.31140231572139476</v>
      </c>
      <c r="E108" s="2">
        <v>1E-10</v>
      </c>
      <c r="F108" s="2" t="str">
        <f t="shared" si="3"/>
        <v>PASS</v>
      </c>
    </row>
    <row r="109" spans="1:6" x14ac:dyDescent="0.35">
      <c r="A109" s="2" t="s">
        <v>614</v>
      </c>
      <c r="B109" s="2" t="s">
        <v>615</v>
      </c>
      <c r="C109" s="21">
        <v>0.13820128651188601</v>
      </c>
      <c r="D109" s="21">
        <f>Snapshot!E21</f>
        <v>0.13820128651188601</v>
      </c>
      <c r="E109" s="2">
        <v>1E-10</v>
      </c>
      <c r="F109" s="2" t="str">
        <f t="shared" si="3"/>
        <v>PASS</v>
      </c>
    </row>
    <row r="110" spans="1:6" x14ac:dyDescent="0.35">
      <c r="A110" s="2" t="s">
        <v>616</v>
      </c>
      <c r="B110" s="2" t="s">
        <v>617</v>
      </c>
      <c r="C110" s="21">
        <v>0.46295321627971497</v>
      </c>
      <c r="D110" s="21">
        <f>Snapshot!E23</f>
        <v>0.46295321627971503</v>
      </c>
      <c r="E110" s="2">
        <v>1E-10</v>
      </c>
      <c r="F110" s="2" t="str">
        <f t="shared" si="3"/>
        <v>PASS</v>
      </c>
    </row>
    <row r="111" spans="1:6" x14ac:dyDescent="0.35">
      <c r="A111" s="2" t="s">
        <v>618</v>
      </c>
      <c r="B111" s="2" t="s">
        <v>619</v>
      </c>
      <c r="C111" s="22">
        <v>1998.0836283234289</v>
      </c>
      <c r="D111" s="22">
        <f>Snapshot!E27</f>
        <v>1998.0836283234294</v>
      </c>
      <c r="E111" s="2">
        <v>0.01</v>
      </c>
      <c r="F111" s="2" t="str">
        <f t="shared" si="3"/>
        <v>PASS</v>
      </c>
    </row>
    <row r="112" spans="1:6" x14ac:dyDescent="0.35">
      <c r="A112" s="2" t="s">
        <v>620</v>
      </c>
      <c r="B112" s="2" t="s">
        <v>621</v>
      </c>
      <c r="C112" s="20">
        <v>61.243200000000002</v>
      </c>
      <c r="D112" s="20">
        <f>Trajectory!C35</f>
        <v>61.243200000000002</v>
      </c>
      <c r="E112" s="2">
        <v>1E-8</v>
      </c>
      <c r="F112" s="2" t="str">
        <f t="shared" si="3"/>
        <v>PASS</v>
      </c>
    </row>
    <row r="113" spans="1:6" x14ac:dyDescent="0.35">
      <c r="A113" s="2" t="s">
        <v>622</v>
      </c>
      <c r="B113" s="2" t="s">
        <v>623</v>
      </c>
      <c r="C113" s="20">
        <v>38.012799999999999</v>
      </c>
      <c r="D113" s="20">
        <f>Trajectory!C36</f>
        <v>38.012799999999999</v>
      </c>
      <c r="E113" s="2">
        <v>1E-8</v>
      </c>
      <c r="F113" s="2" t="str">
        <f t="shared" si="3"/>
        <v>PASS</v>
      </c>
    </row>
    <row r="114" spans="1:6" x14ac:dyDescent="0.35">
      <c r="A114" s="2" t="s">
        <v>624</v>
      </c>
      <c r="B114" s="2" t="s">
        <v>625</v>
      </c>
      <c r="C114" s="21">
        <v>0.19861953653630121</v>
      </c>
      <c r="D114" s="21">
        <f>Trajectory!C37</f>
        <v>0.19861953653630118</v>
      </c>
      <c r="E114" s="2">
        <v>1E-10</v>
      </c>
      <c r="F114" s="2" t="str">
        <f t="shared" si="3"/>
        <v>PASS</v>
      </c>
    </row>
    <row r="115" spans="1:6" x14ac:dyDescent="0.35">
      <c r="A115" s="2" t="s">
        <v>626</v>
      </c>
      <c r="B115" s="2" t="s">
        <v>627</v>
      </c>
      <c r="C115" s="21">
        <v>9.2019536536301183E-2</v>
      </c>
      <c r="D115" s="21">
        <f>Trajectory!C38</f>
        <v>9.2019536536301183E-2</v>
      </c>
      <c r="E115" s="2">
        <v>1E-10</v>
      </c>
      <c r="F115" s="2" t="str">
        <f t="shared" si="3"/>
        <v>PASS</v>
      </c>
    </row>
    <row r="116" spans="1:6" x14ac:dyDescent="0.35">
      <c r="A116" s="2" t="s">
        <v>628</v>
      </c>
      <c r="B116" s="2" t="s">
        <v>629</v>
      </c>
      <c r="C116" s="20">
        <v>69.746399999999994</v>
      </c>
      <c r="D116" s="20">
        <f>Trajectory!D35</f>
        <v>69.746399999999994</v>
      </c>
      <c r="E116" s="2">
        <v>1E-8</v>
      </c>
      <c r="F116" s="2" t="str">
        <f t="shared" si="3"/>
        <v>PASS</v>
      </c>
    </row>
    <row r="117" spans="1:6" x14ac:dyDescent="0.35">
      <c r="A117" s="2" t="s">
        <v>630</v>
      </c>
      <c r="B117" s="2" t="s">
        <v>631</v>
      </c>
      <c r="C117" s="20">
        <v>40.993600000000001</v>
      </c>
      <c r="D117" s="20">
        <f>Trajectory!D36</f>
        <v>40.993600000000001</v>
      </c>
      <c r="E117" s="2">
        <v>1E-8</v>
      </c>
      <c r="F117" s="2" t="str">
        <f t="shared" si="3"/>
        <v>PASS</v>
      </c>
    </row>
    <row r="118" spans="1:6" x14ac:dyDescent="0.35">
      <c r="A118" s="2" t="s">
        <v>632</v>
      </c>
      <c r="B118" s="2" t="s">
        <v>633</v>
      </c>
      <c r="C118" s="21">
        <v>0.1880807038069349</v>
      </c>
      <c r="D118" s="21">
        <f>Trajectory!D37</f>
        <v>0.18808070380693487</v>
      </c>
      <c r="E118" s="2">
        <v>1E-10</v>
      </c>
      <c r="F118" s="2" t="str">
        <f t="shared" si="3"/>
        <v>PASS</v>
      </c>
    </row>
    <row r="119" spans="1:6" x14ac:dyDescent="0.35">
      <c r="A119" s="2" t="s">
        <v>634</v>
      </c>
      <c r="B119" s="2" t="s">
        <v>635</v>
      </c>
      <c r="C119" s="21">
        <v>8.1480703806934868E-2</v>
      </c>
      <c r="D119" s="21">
        <f>Trajectory!D38</f>
        <v>8.1480703806934868E-2</v>
      </c>
      <c r="E119" s="2">
        <v>1E-10</v>
      </c>
      <c r="F119" s="2" t="str">
        <f t="shared" si="3"/>
        <v>PASS</v>
      </c>
    </row>
    <row r="120" spans="1:6" x14ac:dyDescent="0.35">
      <c r="A120" s="2" t="s">
        <v>636</v>
      </c>
      <c r="B120" s="2" t="s">
        <v>637</v>
      </c>
      <c r="C120" s="20">
        <v>79.693200000000004</v>
      </c>
      <c r="D120" s="20">
        <f>Trajectory!E35</f>
        <v>79.693200000000004</v>
      </c>
      <c r="E120" s="2">
        <v>1E-8</v>
      </c>
      <c r="F120" s="2" t="str">
        <f t="shared" si="3"/>
        <v>PASS</v>
      </c>
    </row>
    <row r="121" spans="1:6" x14ac:dyDescent="0.35">
      <c r="A121" s="2" t="s">
        <v>638</v>
      </c>
      <c r="B121" s="2" t="s">
        <v>639</v>
      </c>
      <c r="C121" s="20">
        <v>47.914400000000001</v>
      </c>
      <c r="D121" s="20">
        <f>Trajectory!E36</f>
        <v>47.914400000000001</v>
      </c>
      <c r="E121" s="2">
        <v>1E-8</v>
      </c>
      <c r="F121" s="2" t="str">
        <f t="shared" si="3"/>
        <v>PASS</v>
      </c>
    </row>
    <row r="122" spans="1:6" x14ac:dyDescent="0.35">
      <c r="A122" s="2" t="s">
        <v>640</v>
      </c>
      <c r="B122" s="2" t="s">
        <v>641</v>
      </c>
      <c r="C122" s="21">
        <v>0.19239543649897359</v>
      </c>
      <c r="D122" s="21">
        <f>Trajectory!E37</f>
        <v>0.19239543649897356</v>
      </c>
      <c r="E122" s="2">
        <v>1E-10</v>
      </c>
      <c r="F122" s="2" t="str">
        <f t="shared" si="3"/>
        <v>PASS</v>
      </c>
    </row>
    <row r="123" spans="1:6" x14ac:dyDescent="0.35">
      <c r="A123" s="2" t="s">
        <v>642</v>
      </c>
      <c r="B123" s="2" t="s">
        <v>643</v>
      </c>
      <c r="C123" s="21">
        <v>8.579543649897356E-2</v>
      </c>
      <c r="D123" s="21">
        <f>Trajectory!E38</f>
        <v>8.579543649897356E-2</v>
      </c>
      <c r="E123" s="2">
        <v>1E-10</v>
      </c>
      <c r="F123" s="2" t="str">
        <f t="shared" si="3"/>
        <v>PASS</v>
      </c>
    </row>
    <row r="124" spans="1:6" x14ac:dyDescent="0.35">
      <c r="A124" s="2" t="s">
        <v>644</v>
      </c>
      <c r="B124" s="2" t="s">
        <v>645</v>
      </c>
      <c r="C124" s="20">
        <v>71.424000000000007</v>
      </c>
      <c r="D124" s="20">
        <f>Trajectory!F35</f>
        <v>71.424000000000007</v>
      </c>
      <c r="E124" s="2">
        <v>1E-8</v>
      </c>
      <c r="F124" s="2" t="str">
        <f t="shared" si="3"/>
        <v>PASS</v>
      </c>
    </row>
    <row r="125" spans="1:6" x14ac:dyDescent="0.35">
      <c r="A125" s="2" t="s">
        <v>646</v>
      </c>
      <c r="B125" s="2" t="s">
        <v>647</v>
      </c>
      <c r="C125" s="20">
        <v>45.0488</v>
      </c>
      <c r="D125" s="20">
        <f>Trajectory!F36</f>
        <v>45.0488</v>
      </c>
      <c r="E125" s="2">
        <v>1E-8</v>
      </c>
      <c r="F125" s="2" t="str">
        <f t="shared" si="3"/>
        <v>PASS</v>
      </c>
    </row>
    <row r="126" spans="1:6" x14ac:dyDescent="0.35">
      <c r="A126" s="2" t="s">
        <v>648</v>
      </c>
      <c r="B126" s="2" t="s">
        <v>649</v>
      </c>
      <c r="C126" s="21">
        <v>0.201831541218638</v>
      </c>
      <c r="D126" s="21">
        <f>Trajectory!F37</f>
        <v>0.20183154121863797</v>
      </c>
      <c r="E126" s="2">
        <v>1E-10</v>
      </c>
      <c r="F126" s="2" t="str">
        <f t="shared" si="3"/>
        <v>PASS</v>
      </c>
    </row>
    <row r="127" spans="1:6" x14ac:dyDescent="0.35">
      <c r="A127" s="2" t="s">
        <v>650</v>
      </c>
      <c r="B127" s="2" t="s">
        <v>651</v>
      </c>
      <c r="C127" s="21">
        <v>9.5231541218637972E-2</v>
      </c>
      <c r="D127" s="21">
        <f>Trajectory!F38</f>
        <v>9.5231541218637972E-2</v>
      </c>
      <c r="E127" s="2">
        <v>1E-10</v>
      </c>
      <c r="F127" s="2" t="str">
        <f t="shared" si="3"/>
        <v>PASS</v>
      </c>
    </row>
    <row r="128" spans="1:6" x14ac:dyDescent="0.35">
      <c r="A128" s="2" t="s">
        <v>652</v>
      </c>
      <c r="B128" s="2" t="s">
        <v>653</v>
      </c>
      <c r="C128" s="20">
        <v>111.88079999999999</v>
      </c>
      <c r="D128" s="20">
        <f>Trajectory!G35</f>
        <v>111.88079999999999</v>
      </c>
      <c r="E128" s="2">
        <v>1E-8</v>
      </c>
      <c r="F128" s="2" t="str">
        <f t="shared" si="3"/>
        <v>PASS</v>
      </c>
    </row>
    <row r="129" spans="1:6" x14ac:dyDescent="0.35">
      <c r="A129" s="2" t="s">
        <v>654</v>
      </c>
      <c r="B129" s="2" t="s">
        <v>655</v>
      </c>
      <c r="C129" s="20">
        <v>48.640800000000013</v>
      </c>
      <c r="D129" s="20">
        <f>Trajectory!G36</f>
        <v>48.640800000000006</v>
      </c>
      <c r="E129" s="2">
        <v>1E-8</v>
      </c>
      <c r="F129" s="2" t="str">
        <f t="shared" si="3"/>
        <v>PASS</v>
      </c>
    </row>
    <row r="130" spans="1:6" x14ac:dyDescent="0.35">
      <c r="A130" s="2" t="s">
        <v>656</v>
      </c>
      <c r="B130" s="2" t="s">
        <v>657</v>
      </c>
      <c r="C130" s="21">
        <v>0.13912177960829741</v>
      </c>
      <c r="D130" s="21">
        <f>Trajectory!G37</f>
        <v>0.13912177960829744</v>
      </c>
      <c r="E130" s="2">
        <v>1E-10</v>
      </c>
      <c r="F130" s="2" t="str">
        <f t="shared" si="3"/>
        <v>PASS</v>
      </c>
    </row>
    <row r="131" spans="1:6" x14ac:dyDescent="0.35">
      <c r="A131" s="2" t="s">
        <v>658</v>
      </c>
      <c r="B131" s="2" t="s">
        <v>659</v>
      </c>
      <c r="C131" s="21">
        <v>3.2521779608297441E-2</v>
      </c>
      <c r="D131" s="21">
        <f>Trajectory!G38</f>
        <v>3.2521779608297441E-2</v>
      </c>
      <c r="E131" s="2">
        <v>1E-10</v>
      </c>
      <c r="F131" s="2" t="str">
        <f t="shared" si="3"/>
        <v>PASS</v>
      </c>
    </row>
    <row r="132" spans="1:6" x14ac:dyDescent="0.35">
      <c r="A132" s="2" t="s">
        <v>660</v>
      </c>
      <c r="B132" s="2" t="s">
        <v>661</v>
      </c>
      <c r="C132" s="20">
        <v>48.640800000000013</v>
      </c>
      <c r="D132" s="20">
        <f>Snapshot!F14</f>
        <v>48.640800000000006</v>
      </c>
      <c r="E132" s="2">
        <v>1E-8</v>
      </c>
      <c r="F132" s="2" t="str">
        <f t="shared" ref="F132:F163" si="4">IF(ABS(C132-D132)&lt;=E132,"PASS","FAIL")</f>
        <v>PASS</v>
      </c>
    </row>
    <row r="133" spans="1:6" x14ac:dyDescent="0.35">
      <c r="A133" s="2" t="s">
        <v>662</v>
      </c>
      <c r="B133" s="2" t="s">
        <v>663</v>
      </c>
      <c r="C133" s="20">
        <v>123.75</v>
      </c>
      <c r="D133" s="20">
        <f>Snapshot!F12</f>
        <v>123.75</v>
      </c>
      <c r="E133" s="2">
        <v>1E-8</v>
      </c>
      <c r="F133" s="2" t="str">
        <f t="shared" si="4"/>
        <v>PASS</v>
      </c>
    </row>
    <row r="134" spans="1:6" x14ac:dyDescent="0.35">
      <c r="A134" s="2" t="s">
        <v>664</v>
      </c>
      <c r="B134" s="2" t="s">
        <v>665</v>
      </c>
      <c r="C134" s="21">
        <v>0.12577823030303029</v>
      </c>
      <c r="D134" s="21">
        <f>Snapshot!F17</f>
        <v>0.12577823030303031</v>
      </c>
      <c r="E134" s="2">
        <v>1E-10</v>
      </c>
      <c r="F134" s="2" t="str">
        <f t="shared" si="4"/>
        <v>PASS</v>
      </c>
    </row>
    <row r="135" spans="1:6" x14ac:dyDescent="0.35">
      <c r="A135" s="2" t="s">
        <v>666</v>
      </c>
      <c r="B135" s="2" t="s">
        <v>667</v>
      </c>
      <c r="C135" s="21">
        <v>1.917823030303031E-2</v>
      </c>
      <c r="D135" s="21">
        <f>Snapshot!F19</f>
        <v>1.9178230303030314E-2</v>
      </c>
      <c r="E135" s="2">
        <v>1E-10</v>
      </c>
      <c r="F135" s="2" t="str">
        <f t="shared" si="4"/>
        <v>PASS</v>
      </c>
    </row>
    <row r="136" spans="1:6" x14ac:dyDescent="0.35">
      <c r="A136" s="2" t="s">
        <v>668</v>
      </c>
      <c r="B136" s="2" t="s">
        <v>669</v>
      </c>
      <c r="C136" s="21">
        <v>-8.3357575757575658E-3</v>
      </c>
      <c r="D136" s="21">
        <f>Snapshot!F21</f>
        <v>-8.3357575757575658E-3</v>
      </c>
      <c r="E136" s="2">
        <v>1E-10</v>
      </c>
      <c r="F136" s="2" t="str">
        <f t="shared" si="4"/>
        <v>PASS</v>
      </c>
    </row>
    <row r="137" spans="1:6" x14ac:dyDescent="0.35">
      <c r="A137" s="2" t="s">
        <v>670</v>
      </c>
      <c r="B137" s="2" t="s">
        <v>671</v>
      </c>
      <c r="C137" s="21">
        <v>5.0622787878787927E-2</v>
      </c>
      <c r="D137" s="21">
        <f>Snapshot!F23</f>
        <v>5.0622787878787934E-2</v>
      </c>
      <c r="E137" s="2">
        <v>1E-10</v>
      </c>
      <c r="F137" s="2" t="str">
        <f t="shared" si="4"/>
        <v>PASS</v>
      </c>
    </row>
    <row r="138" spans="1:6" x14ac:dyDescent="0.35">
      <c r="A138" s="2" t="s">
        <v>672</v>
      </c>
      <c r="B138" s="2" t="s">
        <v>673</v>
      </c>
      <c r="C138" s="22">
        <v>-594.97756928003741</v>
      </c>
      <c r="D138" s="22">
        <f>Snapshot!F27</f>
        <v>-594.97756928003741</v>
      </c>
      <c r="E138" s="2">
        <v>0.01</v>
      </c>
      <c r="F138" s="2" t="str">
        <f t="shared" si="4"/>
        <v>PASS</v>
      </c>
    </row>
  </sheetData>
  <autoFilter ref="A3:F138" xr:uid="{00000000-0009-0000-0000-000004000000}"/>
  <mergeCells count="1">
    <mergeCell ref="A1:F1"/>
  </mergeCells>
  <conditionalFormatting sqref="F4:F138">
    <cfRule type="cellIs" dxfId="1" priority="1" operator="equal">
      <formula>"PASS"</formula>
    </cfRule>
    <cfRule type="cellIs" dxfId="0" priority="2" operator="equal">
      <formula>"FAIL"</formula>
    </cfRule>
  </conditionalFormatting>
  <pageMargins left="0.25" right="0.25" top="0.4" bottom="0.4" header="0.2" footer="0.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078890C7E9B645B75D2EE3E70A0933" ma:contentTypeVersion="12" ma:contentTypeDescription="Create a new document." ma:contentTypeScope="" ma:versionID="9a479c30d68258b83860b56685bffbe3">
  <xsd:schema xmlns:xsd="http://www.w3.org/2001/XMLSchema" xmlns:xs="http://www.w3.org/2001/XMLSchema" xmlns:p="http://schemas.microsoft.com/office/2006/metadata/properties" xmlns:ns2="7ff64b1c-6460-437c-af07-8a05ee9dc9ca" xmlns:ns3="7b661b1d-9392-416a-8d1d-cd1ecd5a49b0" targetNamespace="http://schemas.microsoft.com/office/2006/metadata/properties" ma:root="true" ma:fieldsID="a5d85c5d288c16ebb2d659f9c5292273" ns2:_="" ns3:_="">
    <xsd:import namespace="7ff64b1c-6460-437c-af07-8a05ee9dc9ca"/>
    <xsd:import namespace="7b661b1d-9392-416a-8d1d-cd1ecd5a49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64b1c-6460-437c-af07-8a05ee9dc9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712bb0f-18dd-4748-aae8-9b47efc637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61b1d-9392-416a-8d1d-cd1ecd5a49b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ba042c9-22f7-48a9-8e5c-d61002f39f33}" ma:internalName="TaxCatchAll" ma:showField="CatchAllData" ma:web="7b661b1d-9392-416a-8d1d-cd1ecd5a49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661b1d-9392-416a-8d1d-cd1ecd5a49b0" xsi:nil="true"/>
    <lcf76f155ced4ddcb4097134ff3c332f xmlns="7ff64b1c-6460-437c-af07-8a05ee9dc9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0C51CE-6D4D-42D4-BA85-96B9A41AB6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6661E6-AC28-43E7-8568-03B5680960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f64b1c-6460-437c-af07-8a05ee9dc9ca"/>
    <ds:schemaRef ds:uri="7b661b1d-9392-416a-8d1d-cd1ecd5a49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4D0E54-30DD-4B90-BA40-00B5C28E9AE7}">
  <ds:schemaRefs>
    <ds:schemaRef ds:uri="http://schemas.microsoft.com/office/2006/metadata/properties"/>
    <ds:schemaRef ds:uri="http://schemas.microsoft.com/office/infopath/2007/PartnerControls"/>
    <ds:schemaRef ds:uri="7b661b1d-9392-416a-8d1d-cd1ecd5a49b0"/>
    <ds:schemaRef ds:uri="7ff64b1c-6460-437c-af07-8a05ee9dc9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Trajectory</vt:lpstr>
      <vt:lpstr>Snapshot</vt:lpstr>
      <vt:lpstr>Inputs</vt:lpstr>
      <vt:lpstr>Sources &amp; Notes</vt:lpstr>
      <vt:lpstr>Checks</vt:lpstr>
      <vt:lpstr>Snapshot!Print_Area</vt:lpstr>
      <vt:lpstr>Trajectory!Print_Area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 Capex / Revenue Proxy and Forward ROIC Analysis</dc:title>
  <dc:subject>Filing-based reconstruction of the user-provided screenshots</dc:subject>
  <dc:creator>Brookfield Global Strategy Group / Codex</dc:creator>
  <dc:description>Public filing inputs with linked cell notes, explicit model assumptions, formula-driven trajectory and snapshot views, and independent checks.</dc:description>
  <cp:lastModifiedBy>Bao, David</cp:lastModifiedBy>
  <dcterms:created xsi:type="dcterms:W3CDTF">2026-08-05T23:20:42Z</dcterms:created>
  <dcterms:modified xsi:type="dcterms:W3CDTF">2026-08-31T18:02:11Z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0x01010068078890C7E9B645B75D2EE3E70A0933</vt:lpwstr>
  </property>
  <property fmtid="{D5CDD505-2E9C-101B-9397-08002B2CF9AE}" pid="3" name="{A44787D4-0540-4523-9961-78E4036D8C6D}">
    <vt:lpwstr>{7336B966-14FB-4715-B9DC-820182C96C34}</vt:lpwstr>
  </property>
  <property fmtid="{D5CDD505-2E9C-101B-9397-08002B2CF9AE}" pid="4" name="MediaServiceImageTags">
    <vt:lpwstr/>
  </property>
</Properties>
</file>